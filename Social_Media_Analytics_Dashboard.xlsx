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ludim\Downloads\"/>
    </mc:Choice>
  </mc:AlternateContent>
  <xr:revisionPtr revIDLastSave="0" documentId="13_ncr:1_{719227FD-B861-43F8-A2DD-74668DFB346B}" xr6:coauthVersionLast="47" xr6:coauthVersionMax="47" xr10:uidLastSave="{00000000-0000-0000-0000-000000000000}"/>
  <bookViews>
    <workbookView xWindow="-120" yWindow="-120" windowWidth="29040" windowHeight="15720" tabRatio="736" activeTab="3" xr2:uid="{0CB0C27B-915B-4CFD-AD7D-4A00C6719D8C}"/>
  </bookViews>
  <sheets>
    <sheet name="Raw Data" sheetId="1" r:id="rId1"/>
    <sheet name="Analysis" sheetId="5" r:id="rId2"/>
    <sheet name="Pre-Analysis" sheetId="3" r:id="rId3"/>
    <sheet name="Platform &amp; Content Dashboard" sheetId="4" r:id="rId4"/>
    <sheet name="Engagement Trend Dashboard" sheetId="6" r:id="rId5"/>
    <sheet name="Top Performers Dashboard" sheetId="7" r:id="rId6"/>
    <sheet name="In-Analysis" sheetId="8" r:id="rId7"/>
    <sheet name="Post-Analysis" sheetId="9" r:id="rId8"/>
  </sheets>
  <definedNames>
    <definedName name="_xlnm._FilterDatabase" localSheetId="0" hidden="1">'Raw Data'!$A$1:$L$1001</definedName>
    <definedName name="EngagementRange">OFFSET(Analysis!$P$2,0,0,COUNTA(Analysis!$N$2:$N$1000)-1,1)</definedName>
    <definedName name="ImpressionsRange">OFFSET(Analysis!$S$2,0,0,COUNTA(Analysis!$R$2:$R$1000)-1,1)</definedName>
    <definedName name="ReachRange">OFFSET(Analysis!$T$2,0,0,COUNTA(Analysis!$R$2:$R$1000)-1,1)</definedName>
    <definedName name="SharesRange">OFFSET(Analysis!$O$2,0,0,COUNTA(Analysis!$N$2:$N$1000)-1,1)</definedName>
    <definedName name="Slicer_Content_Type">#N/A</definedName>
    <definedName name="Slicer_Platform">#N/A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26" i="5" l="1"/>
  <c r="G114" i="5"/>
  <c r="I35" i="5"/>
  <c r="I36" i="5"/>
  <c r="I37" i="5"/>
  <c r="I38" i="5"/>
  <c r="I39" i="5"/>
  <c r="I40" i="5"/>
  <c r="I41" i="5"/>
  <c r="I42" i="5"/>
  <c r="I43" i="5"/>
  <c r="I44" i="5"/>
  <c r="I45" i="5"/>
  <c r="I46" i="5"/>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H4" i="5"/>
  <c r="H3" i="5"/>
  <c r="H2" i="5"/>
  <c r="J25" i="5"/>
  <c r="J24" i="5"/>
  <c r="J23" i="5"/>
  <c r="J22" i="5"/>
  <c r="I25" i="5"/>
  <c r="I24" i="5"/>
  <c r="I23" i="5"/>
  <c r="I22" i="5"/>
  <c r="H25" i="5"/>
  <c r="H24" i="5"/>
  <c r="H23" i="5"/>
  <c r="H22" i="5"/>
  <c r="J21" i="5"/>
  <c r="I21" i="5"/>
  <c r="H21" i="5"/>
  <c r="H15" i="5"/>
  <c r="H16" i="5"/>
  <c r="H17" i="5"/>
  <c r="H18" i="5"/>
  <c r="H14" i="5"/>
  <c r="L31" i="5"/>
  <c r="L29" i="5"/>
  <c r="K32" i="5"/>
  <c r="K31" i="5"/>
  <c r="K30" i="5"/>
  <c r="K29" i="5"/>
  <c r="K28" i="5"/>
  <c r="J32" i="5"/>
  <c r="J30" i="5"/>
  <c r="J28" i="5"/>
  <c r="I32" i="5"/>
  <c r="I30" i="5"/>
  <c r="I29" i="5"/>
  <c r="I28" i="5"/>
  <c r="H30" i="5"/>
  <c r="H29" i="5"/>
  <c r="H28" i="5"/>
  <c r="I8" i="5"/>
  <c r="I9" i="5"/>
  <c r="I10" i="5"/>
  <c r="I11" i="5"/>
  <c r="I7" i="5"/>
  <c r="H8" i="5"/>
  <c r="H9" i="5"/>
  <c r="H10" i="5"/>
  <c r="H11" i="5"/>
  <c r="H7" i="5"/>
  <c r="I15" i="5"/>
  <c r="I16" i="5"/>
  <c r="I17" i="5"/>
  <c r="I18" i="5"/>
  <c r="I14"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G35" i="5" l="1" a="1"/>
  <c r="I48" i="5" l="1"/>
  <c r="I49" i="5"/>
  <c r="H48" i="5"/>
  <c r="H4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<sst xmlns="http://schemas.openxmlformats.org/spreadsheetml/2006/main" count="5370" uniqueCount="1152">
  <si>
    <t>Post ID</t>
  </si>
  <si>
    <t>Platform</t>
  </si>
  <si>
    <t>Post Date</t>
  </si>
  <si>
    <t>Content Type</t>
  </si>
  <si>
    <t>Impressions</t>
  </si>
  <si>
    <t>Reach</t>
  </si>
  <si>
    <t>Likes</t>
  </si>
  <si>
    <t>Comments</t>
  </si>
  <si>
    <t>Shares</t>
  </si>
  <si>
    <t>Engagement Rate %</t>
  </si>
  <si>
    <t>POST-60001</t>
  </si>
  <si>
    <t>Facebook</t>
  </si>
  <si>
    <t>Text</t>
  </si>
  <si>
    <t>POST-60002</t>
  </si>
  <si>
    <t>Instagram</t>
  </si>
  <si>
    <t>Image</t>
  </si>
  <si>
    <t>POST-60003</t>
  </si>
  <si>
    <t>Twitter</t>
  </si>
  <si>
    <t>Video</t>
  </si>
  <si>
    <t>POST-60004</t>
  </si>
  <si>
    <t>TikTok</t>
  </si>
  <si>
    <t>POST-60005</t>
  </si>
  <si>
    <t>POST-60006</t>
  </si>
  <si>
    <t>POST-60007</t>
  </si>
  <si>
    <t>Reel</t>
  </si>
  <si>
    <t>POST-60008</t>
  </si>
  <si>
    <t>LinkedIn</t>
  </si>
  <si>
    <t>POST-60009</t>
  </si>
  <si>
    <t>POST-60010</t>
  </si>
  <si>
    <t>POST-60011</t>
  </si>
  <si>
    <t>POST-60012</t>
  </si>
  <si>
    <t>POST-60013</t>
  </si>
  <si>
    <t>Carousel</t>
  </si>
  <si>
    <t>POST-60014</t>
  </si>
  <si>
    <t>POST-60015</t>
  </si>
  <si>
    <t>POST-60016</t>
  </si>
  <si>
    <t>POST-60017</t>
  </si>
  <si>
    <t>POST-60018</t>
  </si>
  <si>
    <t>POST-60019</t>
  </si>
  <si>
    <t>POST-60020</t>
  </si>
  <si>
    <t>POST-60021</t>
  </si>
  <si>
    <t>POST-60022</t>
  </si>
  <si>
    <t>POST-60023</t>
  </si>
  <si>
    <t>POST-60024</t>
  </si>
  <si>
    <t>POST-60025</t>
  </si>
  <si>
    <t>POST-60026</t>
  </si>
  <si>
    <t>POST-60027</t>
  </si>
  <si>
    <t>POST-60028</t>
  </si>
  <si>
    <t>POST-60029</t>
  </si>
  <si>
    <t>POST-60030</t>
  </si>
  <si>
    <t>POST-60031</t>
  </si>
  <si>
    <t>POST-60032</t>
  </si>
  <si>
    <t>POST-60033</t>
  </si>
  <si>
    <t>POST-60034</t>
  </si>
  <si>
    <t>POST-60035</t>
  </si>
  <si>
    <t>POST-60036</t>
  </si>
  <si>
    <t>POST-60037</t>
  </si>
  <si>
    <t>POST-60038</t>
  </si>
  <si>
    <t>POST-60039</t>
  </si>
  <si>
    <t>POST-60040</t>
  </si>
  <si>
    <t>POST-60041</t>
  </si>
  <si>
    <t>POST-60042</t>
  </si>
  <si>
    <t>POST-60043</t>
  </si>
  <si>
    <t>POST-60044</t>
  </si>
  <si>
    <t>POST-60045</t>
  </si>
  <si>
    <t>POST-60046</t>
  </si>
  <si>
    <t>POST-60047</t>
  </si>
  <si>
    <t>POST-60048</t>
  </si>
  <si>
    <t>POST-60049</t>
  </si>
  <si>
    <t>POST-60050</t>
  </si>
  <si>
    <t>POST-60051</t>
  </si>
  <si>
    <t>POST-60052</t>
  </si>
  <si>
    <t>POST-60053</t>
  </si>
  <si>
    <t>POST-60054</t>
  </si>
  <si>
    <t>POST-60055</t>
  </si>
  <si>
    <t>POST-60056</t>
  </si>
  <si>
    <t>POST-60057</t>
  </si>
  <si>
    <t>POST-60058</t>
  </si>
  <si>
    <t>POST-60059</t>
  </si>
  <si>
    <t>POST-60060</t>
  </si>
  <si>
    <t>POST-60061</t>
  </si>
  <si>
    <t>POST-60062</t>
  </si>
  <si>
    <t>POST-60063</t>
  </si>
  <si>
    <t>POST-60064</t>
  </si>
  <si>
    <t>POST-60065</t>
  </si>
  <si>
    <t>POST-60066</t>
  </si>
  <si>
    <t>POST-60067</t>
  </si>
  <si>
    <t>POST-60068</t>
  </si>
  <si>
    <t>POST-60069</t>
  </si>
  <si>
    <t>POST-60070</t>
  </si>
  <si>
    <t>POST-60071</t>
  </si>
  <si>
    <t>POST-60072</t>
  </si>
  <si>
    <t>POST-60073</t>
  </si>
  <si>
    <t>POST-60074</t>
  </si>
  <si>
    <t>POST-60075</t>
  </si>
  <si>
    <t>POST-60076</t>
  </si>
  <si>
    <t>POST-60077</t>
  </si>
  <si>
    <t>POST-60078</t>
  </si>
  <si>
    <t>POST-60079</t>
  </si>
  <si>
    <t>POST-60080</t>
  </si>
  <si>
    <t>POST-60081</t>
  </si>
  <si>
    <t>POST-60082</t>
  </si>
  <si>
    <t>POST-60083</t>
  </si>
  <si>
    <t>POST-60084</t>
  </si>
  <si>
    <t>POST-60085</t>
  </si>
  <si>
    <t>POST-60086</t>
  </si>
  <si>
    <t>POST-60087</t>
  </si>
  <si>
    <t>POST-60088</t>
  </si>
  <si>
    <t>POST-60089</t>
  </si>
  <si>
    <t>POST-60090</t>
  </si>
  <si>
    <t>POST-60091</t>
  </si>
  <si>
    <t>POST-60092</t>
  </si>
  <si>
    <t>POST-60093</t>
  </si>
  <si>
    <t>POST-60094</t>
  </si>
  <si>
    <t>POST-60095</t>
  </si>
  <si>
    <t>POST-60096</t>
  </si>
  <si>
    <t>POST-60097</t>
  </si>
  <si>
    <t>POST-60098</t>
  </si>
  <si>
    <t>POST-60099</t>
  </si>
  <si>
    <t>POST-60100</t>
  </si>
  <si>
    <t>POST-60101</t>
  </si>
  <si>
    <t>POST-60102</t>
  </si>
  <si>
    <t>POST-60103</t>
  </si>
  <si>
    <t>POST-60104</t>
  </si>
  <si>
    <t>POST-60105</t>
  </si>
  <si>
    <t>POST-60106</t>
  </si>
  <si>
    <t>POST-60107</t>
  </si>
  <si>
    <t>POST-60108</t>
  </si>
  <si>
    <t>POST-60109</t>
  </si>
  <si>
    <t>POST-60110</t>
  </si>
  <si>
    <t>POST-60111</t>
  </si>
  <si>
    <t>POST-60112</t>
  </si>
  <si>
    <t>POST-60113</t>
  </si>
  <si>
    <t>POST-60114</t>
  </si>
  <si>
    <t>POST-60115</t>
  </si>
  <si>
    <t>POST-60116</t>
  </si>
  <si>
    <t>POST-60117</t>
  </si>
  <si>
    <t>POST-60118</t>
  </si>
  <si>
    <t>POST-60119</t>
  </si>
  <si>
    <t>POST-60120</t>
  </si>
  <si>
    <t>POST-60121</t>
  </si>
  <si>
    <t>POST-60122</t>
  </si>
  <si>
    <t>POST-60123</t>
  </si>
  <si>
    <t>POST-60124</t>
  </si>
  <si>
    <t>POST-60125</t>
  </si>
  <si>
    <t>POST-60126</t>
  </si>
  <si>
    <t>POST-60127</t>
  </si>
  <si>
    <t>POST-60128</t>
  </si>
  <si>
    <t>POST-60129</t>
  </si>
  <si>
    <t>POST-60130</t>
  </si>
  <si>
    <t>POST-60131</t>
  </si>
  <si>
    <t>POST-60132</t>
  </si>
  <si>
    <t>POST-60133</t>
  </si>
  <si>
    <t>POST-60134</t>
  </si>
  <si>
    <t>POST-60135</t>
  </si>
  <si>
    <t>POST-60136</t>
  </si>
  <si>
    <t>POST-60137</t>
  </si>
  <si>
    <t>POST-60138</t>
  </si>
  <si>
    <t>POST-60139</t>
  </si>
  <si>
    <t>POST-60140</t>
  </si>
  <si>
    <t>POST-60141</t>
  </si>
  <si>
    <t>POST-60142</t>
  </si>
  <si>
    <t>POST-60143</t>
  </si>
  <si>
    <t>POST-60144</t>
  </si>
  <si>
    <t>POST-60145</t>
  </si>
  <si>
    <t>POST-60146</t>
  </si>
  <si>
    <t>POST-60147</t>
  </si>
  <si>
    <t>POST-60148</t>
  </si>
  <si>
    <t>POST-60149</t>
  </si>
  <si>
    <t>POST-60150</t>
  </si>
  <si>
    <t>POST-60151</t>
  </si>
  <si>
    <t>POST-60152</t>
  </si>
  <si>
    <t>POST-60153</t>
  </si>
  <si>
    <t>POST-60154</t>
  </si>
  <si>
    <t>POST-60155</t>
  </si>
  <si>
    <t>POST-60156</t>
  </si>
  <si>
    <t>POST-60157</t>
  </si>
  <si>
    <t>POST-60158</t>
  </si>
  <si>
    <t>POST-60159</t>
  </si>
  <si>
    <t>POST-60160</t>
  </si>
  <si>
    <t>POST-60161</t>
  </si>
  <si>
    <t>POST-60162</t>
  </si>
  <si>
    <t>POST-60163</t>
  </si>
  <si>
    <t>POST-60164</t>
  </si>
  <si>
    <t>POST-60165</t>
  </si>
  <si>
    <t>POST-60166</t>
  </si>
  <si>
    <t>POST-60167</t>
  </si>
  <si>
    <t>POST-60168</t>
  </si>
  <si>
    <t>POST-60169</t>
  </si>
  <si>
    <t>POST-60170</t>
  </si>
  <si>
    <t>POST-60171</t>
  </si>
  <si>
    <t>POST-60172</t>
  </si>
  <si>
    <t>POST-60173</t>
  </si>
  <si>
    <t>POST-60174</t>
  </si>
  <si>
    <t>POST-60175</t>
  </si>
  <si>
    <t>POST-60176</t>
  </si>
  <si>
    <t>POST-60177</t>
  </si>
  <si>
    <t>POST-60178</t>
  </si>
  <si>
    <t>POST-60179</t>
  </si>
  <si>
    <t>POST-60180</t>
  </si>
  <si>
    <t>POST-60181</t>
  </si>
  <si>
    <t>POST-60182</t>
  </si>
  <si>
    <t>POST-60183</t>
  </si>
  <si>
    <t>POST-60184</t>
  </si>
  <si>
    <t>POST-60185</t>
  </si>
  <si>
    <t>POST-60186</t>
  </si>
  <si>
    <t>POST-60187</t>
  </si>
  <si>
    <t>POST-60188</t>
  </si>
  <si>
    <t>POST-60189</t>
  </si>
  <si>
    <t>POST-60190</t>
  </si>
  <si>
    <t>POST-60191</t>
  </si>
  <si>
    <t>POST-60192</t>
  </si>
  <si>
    <t>POST-60193</t>
  </si>
  <si>
    <t>POST-60194</t>
  </si>
  <si>
    <t>POST-60195</t>
  </si>
  <si>
    <t>POST-60196</t>
  </si>
  <si>
    <t>POST-60197</t>
  </si>
  <si>
    <t>POST-60198</t>
  </si>
  <si>
    <t>POST-60199</t>
  </si>
  <si>
    <t>POST-60200</t>
  </si>
  <si>
    <t>POST-60201</t>
  </si>
  <si>
    <t>POST-60202</t>
  </si>
  <si>
    <t>POST-60203</t>
  </si>
  <si>
    <t>POST-60204</t>
  </si>
  <si>
    <t>POST-60205</t>
  </si>
  <si>
    <t>POST-60206</t>
  </si>
  <si>
    <t>POST-60207</t>
  </si>
  <si>
    <t>POST-60208</t>
  </si>
  <si>
    <t>POST-60209</t>
  </si>
  <si>
    <t>POST-60210</t>
  </si>
  <si>
    <t>POST-60211</t>
  </si>
  <si>
    <t>POST-60212</t>
  </si>
  <si>
    <t>POST-60213</t>
  </si>
  <si>
    <t>POST-60214</t>
  </si>
  <si>
    <t>POST-60215</t>
  </si>
  <si>
    <t>POST-60216</t>
  </si>
  <si>
    <t>POST-60217</t>
  </si>
  <si>
    <t>POST-60218</t>
  </si>
  <si>
    <t>POST-60219</t>
  </si>
  <si>
    <t>POST-60220</t>
  </si>
  <si>
    <t>POST-60221</t>
  </si>
  <si>
    <t>POST-60222</t>
  </si>
  <si>
    <t>POST-60223</t>
  </si>
  <si>
    <t>POST-60224</t>
  </si>
  <si>
    <t>POST-60225</t>
  </si>
  <si>
    <t>POST-60226</t>
  </si>
  <si>
    <t>POST-60227</t>
  </si>
  <si>
    <t>POST-60228</t>
  </si>
  <si>
    <t>POST-60229</t>
  </si>
  <si>
    <t>POST-60230</t>
  </si>
  <si>
    <t>POST-60231</t>
  </si>
  <si>
    <t>POST-60232</t>
  </si>
  <si>
    <t>POST-60233</t>
  </si>
  <si>
    <t>POST-60234</t>
  </si>
  <si>
    <t>POST-60235</t>
  </si>
  <si>
    <t>POST-60236</t>
  </si>
  <si>
    <t>POST-60237</t>
  </si>
  <si>
    <t>POST-60238</t>
  </si>
  <si>
    <t>POST-60239</t>
  </si>
  <si>
    <t>POST-60240</t>
  </si>
  <si>
    <t>POST-60241</t>
  </si>
  <si>
    <t>POST-60242</t>
  </si>
  <si>
    <t>POST-60243</t>
  </si>
  <si>
    <t>POST-60244</t>
  </si>
  <si>
    <t>POST-60245</t>
  </si>
  <si>
    <t>POST-60246</t>
  </si>
  <si>
    <t>POST-60247</t>
  </si>
  <si>
    <t>POST-60248</t>
  </si>
  <si>
    <t>POST-60249</t>
  </si>
  <si>
    <t>POST-60250</t>
  </si>
  <si>
    <t>POST-60251</t>
  </si>
  <si>
    <t>POST-60252</t>
  </si>
  <si>
    <t>POST-60253</t>
  </si>
  <si>
    <t>POST-60254</t>
  </si>
  <si>
    <t>POST-60255</t>
  </si>
  <si>
    <t>POST-60256</t>
  </si>
  <si>
    <t>POST-60257</t>
  </si>
  <si>
    <t>POST-60258</t>
  </si>
  <si>
    <t>POST-60259</t>
  </si>
  <si>
    <t>POST-60260</t>
  </si>
  <si>
    <t>POST-60261</t>
  </si>
  <si>
    <t>POST-60262</t>
  </si>
  <si>
    <t>POST-60263</t>
  </si>
  <si>
    <t>POST-60264</t>
  </si>
  <si>
    <t>POST-60265</t>
  </si>
  <si>
    <t>POST-60266</t>
  </si>
  <si>
    <t>POST-60267</t>
  </si>
  <si>
    <t>POST-60268</t>
  </si>
  <si>
    <t>POST-60269</t>
  </si>
  <si>
    <t>POST-60270</t>
  </si>
  <si>
    <t>POST-60271</t>
  </si>
  <si>
    <t>POST-60272</t>
  </si>
  <si>
    <t>POST-60273</t>
  </si>
  <si>
    <t>POST-60274</t>
  </si>
  <si>
    <t>POST-60275</t>
  </si>
  <si>
    <t>POST-60276</t>
  </si>
  <si>
    <t>POST-60277</t>
  </si>
  <si>
    <t>POST-60278</t>
  </si>
  <si>
    <t>POST-60279</t>
  </si>
  <si>
    <t>POST-60280</t>
  </si>
  <si>
    <t>POST-60281</t>
  </si>
  <si>
    <t>POST-60282</t>
  </si>
  <si>
    <t>POST-60283</t>
  </si>
  <si>
    <t>POST-60284</t>
  </si>
  <si>
    <t>POST-60285</t>
  </si>
  <si>
    <t>POST-60286</t>
  </si>
  <si>
    <t>POST-60287</t>
  </si>
  <si>
    <t>POST-60288</t>
  </si>
  <si>
    <t>POST-60289</t>
  </si>
  <si>
    <t>POST-60290</t>
  </si>
  <si>
    <t>POST-60291</t>
  </si>
  <si>
    <t>POST-60292</t>
  </si>
  <si>
    <t>POST-60293</t>
  </si>
  <si>
    <t>POST-60294</t>
  </si>
  <si>
    <t>POST-60295</t>
  </si>
  <si>
    <t>POST-60296</t>
  </si>
  <si>
    <t>POST-60297</t>
  </si>
  <si>
    <t>POST-60298</t>
  </si>
  <si>
    <t>POST-60299</t>
  </si>
  <si>
    <t>POST-60300</t>
  </si>
  <si>
    <t>POST-60301</t>
  </si>
  <si>
    <t>POST-60302</t>
  </si>
  <si>
    <t>POST-60303</t>
  </si>
  <si>
    <t>POST-60304</t>
  </si>
  <si>
    <t>POST-60305</t>
  </si>
  <si>
    <t>POST-60306</t>
  </si>
  <si>
    <t>POST-60307</t>
  </si>
  <si>
    <t>POST-60308</t>
  </si>
  <si>
    <t>POST-60309</t>
  </si>
  <si>
    <t>POST-60310</t>
  </si>
  <si>
    <t>POST-60311</t>
  </si>
  <si>
    <t>POST-60312</t>
  </si>
  <si>
    <t>POST-60313</t>
  </si>
  <si>
    <t>POST-60314</t>
  </si>
  <si>
    <t>POST-60315</t>
  </si>
  <si>
    <t>POST-60316</t>
  </si>
  <si>
    <t>POST-60317</t>
  </si>
  <si>
    <t>POST-60318</t>
  </si>
  <si>
    <t>POST-60319</t>
  </si>
  <si>
    <t>POST-60320</t>
  </si>
  <si>
    <t>POST-60321</t>
  </si>
  <si>
    <t>POST-60322</t>
  </si>
  <si>
    <t>POST-60323</t>
  </si>
  <si>
    <t>POST-60324</t>
  </si>
  <si>
    <t>POST-60325</t>
  </si>
  <si>
    <t>POST-60326</t>
  </si>
  <si>
    <t>POST-60327</t>
  </si>
  <si>
    <t>POST-60328</t>
  </si>
  <si>
    <t>POST-60329</t>
  </si>
  <si>
    <t>POST-60330</t>
  </si>
  <si>
    <t>POST-60331</t>
  </si>
  <si>
    <t>POST-60332</t>
  </si>
  <si>
    <t>POST-60333</t>
  </si>
  <si>
    <t>POST-60334</t>
  </si>
  <si>
    <t>POST-60335</t>
  </si>
  <si>
    <t>POST-60336</t>
  </si>
  <si>
    <t>POST-60337</t>
  </si>
  <si>
    <t>POST-60338</t>
  </si>
  <si>
    <t>POST-60339</t>
  </si>
  <si>
    <t>POST-60340</t>
  </si>
  <si>
    <t>POST-60341</t>
  </si>
  <si>
    <t>POST-60342</t>
  </si>
  <si>
    <t>POST-60343</t>
  </si>
  <si>
    <t>POST-60344</t>
  </si>
  <si>
    <t>POST-60345</t>
  </si>
  <si>
    <t>POST-60346</t>
  </si>
  <si>
    <t>POST-60347</t>
  </si>
  <si>
    <t>POST-60348</t>
  </si>
  <si>
    <t>POST-60349</t>
  </si>
  <si>
    <t>POST-60350</t>
  </si>
  <si>
    <t>POST-60351</t>
  </si>
  <si>
    <t>POST-60352</t>
  </si>
  <si>
    <t>POST-60353</t>
  </si>
  <si>
    <t>POST-60354</t>
  </si>
  <si>
    <t>POST-60355</t>
  </si>
  <si>
    <t>POST-60356</t>
  </si>
  <si>
    <t>POST-60357</t>
  </si>
  <si>
    <t>POST-60358</t>
  </si>
  <si>
    <t>POST-60359</t>
  </si>
  <si>
    <t>POST-60360</t>
  </si>
  <si>
    <t>POST-60361</t>
  </si>
  <si>
    <t>POST-60362</t>
  </si>
  <si>
    <t>POST-60363</t>
  </si>
  <si>
    <t>POST-60364</t>
  </si>
  <si>
    <t>POST-60365</t>
  </si>
  <si>
    <t>POST-60366</t>
  </si>
  <si>
    <t>POST-60367</t>
  </si>
  <si>
    <t>POST-60368</t>
  </si>
  <si>
    <t>POST-60369</t>
  </si>
  <si>
    <t>POST-60370</t>
  </si>
  <si>
    <t>POST-60371</t>
  </si>
  <si>
    <t>POST-60372</t>
  </si>
  <si>
    <t>POST-60373</t>
  </si>
  <si>
    <t>POST-60374</t>
  </si>
  <si>
    <t>POST-60375</t>
  </si>
  <si>
    <t>POST-60376</t>
  </si>
  <si>
    <t>POST-60377</t>
  </si>
  <si>
    <t>POST-60378</t>
  </si>
  <si>
    <t>POST-60379</t>
  </si>
  <si>
    <t>POST-60380</t>
  </si>
  <si>
    <t>POST-60381</t>
  </si>
  <si>
    <t>POST-60382</t>
  </si>
  <si>
    <t>POST-60383</t>
  </si>
  <si>
    <t>POST-60384</t>
  </si>
  <si>
    <t>POST-60385</t>
  </si>
  <si>
    <t>POST-60386</t>
  </si>
  <si>
    <t>POST-60387</t>
  </si>
  <si>
    <t>POST-60388</t>
  </si>
  <si>
    <t>POST-60389</t>
  </si>
  <si>
    <t>POST-60390</t>
  </si>
  <si>
    <t>POST-60391</t>
  </si>
  <si>
    <t>POST-60392</t>
  </si>
  <si>
    <t>POST-60393</t>
  </si>
  <si>
    <t>POST-60394</t>
  </si>
  <si>
    <t>POST-60395</t>
  </si>
  <si>
    <t>POST-60396</t>
  </si>
  <si>
    <t>POST-60397</t>
  </si>
  <si>
    <t>POST-60398</t>
  </si>
  <si>
    <t>POST-60399</t>
  </si>
  <si>
    <t>POST-60400</t>
  </si>
  <si>
    <t>POST-60401</t>
  </si>
  <si>
    <t>POST-60402</t>
  </si>
  <si>
    <t>POST-60403</t>
  </si>
  <si>
    <t>POST-60404</t>
  </si>
  <si>
    <t>POST-60405</t>
  </si>
  <si>
    <t>POST-60406</t>
  </si>
  <si>
    <t>POST-60407</t>
  </si>
  <si>
    <t>POST-60408</t>
  </si>
  <si>
    <t>POST-60409</t>
  </si>
  <si>
    <t>POST-60410</t>
  </si>
  <si>
    <t>POST-60411</t>
  </si>
  <si>
    <t>POST-60412</t>
  </si>
  <si>
    <t>POST-60413</t>
  </si>
  <si>
    <t>POST-60414</t>
  </si>
  <si>
    <t>POST-60415</t>
  </si>
  <si>
    <t>POST-60416</t>
  </si>
  <si>
    <t>POST-60417</t>
  </si>
  <si>
    <t>POST-60418</t>
  </si>
  <si>
    <t>POST-60419</t>
  </si>
  <si>
    <t>POST-60420</t>
  </si>
  <si>
    <t>POST-60421</t>
  </si>
  <si>
    <t>POST-60422</t>
  </si>
  <si>
    <t>POST-60423</t>
  </si>
  <si>
    <t>POST-60424</t>
  </si>
  <si>
    <t>POST-60425</t>
  </si>
  <si>
    <t>POST-60426</t>
  </si>
  <si>
    <t>POST-60427</t>
  </si>
  <si>
    <t>POST-60428</t>
  </si>
  <si>
    <t>POST-60429</t>
  </si>
  <si>
    <t>POST-60430</t>
  </si>
  <si>
    <t>POST-60431</t>
  </si>
  <si>
    <t>POST-60432</t>
  </si>
  <si>
    <t>POST-60433</t>
  </si>
  <si>
    <t>POST-60434</t>
  </si>
  <si>
    <t>POST-60435</t>
  </si>
  <si>
    <t>POST-60436</t>
  </si>
  <si>
    <t>POST-60437</t>
  </si>
  <si>
    <t>POST-60438</t>
  </si>
  <si>
    <t>POST-60439</t>
  </si>
  <si>
    <t>POST-60440</t>
  </si>
  <si>
    <t>POST-60441</t>
  </si>
  <si>
    <t>POST-60442</t>
  </si>
  <si>
    <t>POST-60443</t>
  </si>
  <si>
    <t>POST-60444</t>
  </si>
  <si>
    <t>POST-60445</t>
  </si>
  <si>
    <t>POST-60446</t>
  </si>
  <si>
    <t>POST-60447</t>
  </si>
  <si>
    <t>POST-60448</t>
  </si>
  <si>
    <t>POST-60449</t>
  </si>
  <si>
    <t>POST-60450</t>
  </si>
  <si>
    <t>POST-60451</t>
  </si>
  <si>
    <t>POST-60452</t>
  </si>
  <si>
    <t>POST-60453</t>
  </si>
  <si>
    <t>POST-60454</t>
  </si>
  <si>
    <t>POST-60455</t>
  </si>
  <si>
    <t>POST-60456</t>
  </si>
  <si>
    <t>POST-60457</t>
  </si>
  <si>
    <t>POST-60458</t>
  </si>
  <si>
    <t>POST-60459</t>
  </si>
  <si>
    <t>POST-60460</t>
  </si>
  <si>
    <t>POST-60461</t>
  </si>
  <si>
    <t>POST-60462</t>
  </si>
  <si>
    <t>POST-60463</t>
  </si>
  <si>
    <t>POST-60464</t>
  </si>
  <si>
    <t>POST-60465</t>
  </si>
  <si>
    <t>POST-60466</t>
  </si>
  <si>
    <t>POST-60467</t>
  </si>
  <si>
    <t>POST-60468</t>
  </si>
  <si>
    <t>POST-60469</t>
  </si>
  <si>
    <t>POST-60470</t>
  </si>
  <si>
    <t>POST-60471</t>
  </si>
  <si>
    <t>POST-60472</t>
  </si>
  <si>
    <t>POST-60473</t>
  </si>
  <si>
    <t>POST-60474</t>
  </si>
  <si>
    <t>POST-60475</t>
  </si>
  <si>
    <t>POST-60476</t>
  </si>
  <si>
    <t>POST-60477</t>
  </si>
  <si>
    <t>POST-60478</t>
  </si>
  <si>
    <t>POST-60479</t>
  </si>
  <si>
    <t>POST-60480</t>
  </si>
  <si>
    <t>POST-60481</t>
  </si>
  <si>
    <t>POST-60482</t>
  </si>
  <si>
    <t>POST-60483</t>
  </si>
  <si>
    <t>POST-60484</t>
  </si>
  <si>
    <t>POST-60485</t>
  </si>
  <si>
    <t>POST-60486</t>
  </si>
  <si>
    <t>POST-60487</t>
  </si>
  <si>
    <t>POST-60488</t>
  </si>
  <si>
    <t>POST-60489</t>
  </si>
  <si>
    <t>POST-60490</t>
  </si>
  <si>
    <t>POST-60491</t>
  </si>
  <si>
    <t>POST-60492</t>
  </si>
  <si>
    <t>POST-60493</t>
  </si>
  <si>
    <t>POST-60494</t>
  </si>
  <si>
    <t>POST-60495</t>
  </si>
  <si>
    <t>POST-60496</t>
  </si>
  <si>
    <t>POST-60497</t>
  </si>
  <si>
    <t>POST-60498</t>
  </si>
  <si>
    <t>POST-60499</t>
  </si>
  <si>
    <t>POST-60500</t>
  </si>
  <si>
    <t>POST-60501</t>
  </si>
  <si>
    <t>POST-60502</t>
  </si>
  <si>
    <t>POST-60503</t>
  </si>
  <si>
    <t>POST-60504</t>
  </si>
  <si>
    <t>POST-60505</t>
  </si>
  <si>
    <t>POST-60506</t>
  </si>
  <si>
    <t>POST-60507</t>
  </si>
  <si>
    <t>POST-60508</t>
  </si>
  <si>
    <t>POST-60509</t>
  </si>
  <si>
    <t>POST-60510</t>
  </si>
  <si>
    <t>POST-60511</t>
  </si>
  <si>
    <t>POST-60512</t>
  </si>
  <si>
    <t>POST-60513</t>
  </si>
  <si>
    <t>POST-60514</t>
  </si>
  <si>
    <t>POST-60515</t>
  </si>
  <si>
    <t>POST-60516</t>
  </si>
  <si>
    <t>POST-60517</t>
  </si>
  <si>
    <t>POST-60518</t>
  </si>
  <si>
    <t>POST-60519</t>
  </si>
  <si>
    <t>POST-60520</t>
  </si>
  <si>
    <t>POST-60521</t>
  </si>
  <si>
    <t>POST-60522</t>
  </si>
  <si>
    <t>POST-60523</t>
  </si>
  <si>
    <t>POST-60524</t>
  </si>
  <si>
    <t>POST-60525</t>
  </si>
  <si>
    <t>POST-60526</t>
  </si>
  <si>
    <t>POST-60527</t>
  </si>
  <si>
    <t>POST-60528</t>
  </si>
  <si>
    <t>POST-60529</t>
  </si>
  <si>
    <t>POST-60530</t>
  </si>
  <si>
    <t>POST-60531</t>
  </si>
  <si>
    <t>POST-60532</t>
  </si>
  <si>
    <t>POST-60533</t>
  </si>
  <si>
    <t>POST-60534</t>
  </si>
  <si>
    <t>POST-60535</t>
  </si>
  <si>
    <t>POST-60536</t>
  </si>
  <si>
    <t>POST-60537</t>
  </si>
  <si>
    <t>POST-60538</t>
  </si>
  <si>
    <t>POST-60539</t>
  </si>
  <si>
    <t>POST-60540</t>
  </si>
  <si>
    <t>POST-60541</t>
  </si>
  <si>
    <t>POST-60542</t>
  </si>
  <si>
    <t>POST-60543</t>
  </si>
  <si>
    <t>POST-60544</t>
  </si>
  <si>
    <t>POST-60545</t>
  </si>
  <si>
    <t>POST-60546</t>
  </si>
  <si>
    <t>POST-60547</t>
  </si>
  <si>
    <t>POST-60548</t>
  </si>
  <si>
    <t>POST-60549</t>
  </si>
  <si>
    <t>POST-60550</t>
  </si>
  <si>
    <t>POST-60551</t>
  </si>
  <si>
    <t>POST-60552</t>
  </si>
  <si>
    <t>POST-60553</t>
  </si>
  <si>
    <t>POST-60554</t>
  </si>
  <si>
    <t>POST-60555</t>
  </si>
  <si>
    <t>POST-60556</t>
  </si>
  <si>
    <t>POST-60557</t>
  </si>
  <si>
    <t>POST-60558</t>
  </si>
  <si>
    <t>POST-60559</t>
  </si>
  <si>
    <t>POST-60560</t>
  </si>
  <si>
    <t>POST-60561</t>
  </si>
  <si>
    <t>POST-60562</t>
  </si>
  <si>
    <t>POST-60563</t>
  </si>
  <si>
    <t>POST-60564</t>
  </si>
  <si>
    <t>POST-60565</t>
  </si>
  <si>
    <t>POST-60566</t>
  </si>
  <si>
    <t>POST-60567</t>
  </si>
  <si>
    <t>POST-60568</t>
  </si>
  <si>
    <t>POST-60569</t>
  </si>
  <si>
    <t>POST-60570</t>
  </si>
  <si>
    <t>POST-60571</t>
  </si>
  <si>
    <t>POST-60572</t>
  </si>
  <si>
    <t>POST-60573</t>
  </si>
  <si>
    <t>POST-60574</t>
  </si>
  <si>
    <t>POST-60575</t>
  </si>
  <si>
    <t>POST-60576</t>
  </si>
  <si>
    <t>POST-60577</t>
  </si>
  <si>
    <t>POST-60578</t>
  </si>
  <si>
    <t>POST-60579</t>
  </si>
  <si>
    <t>POST-60580</t>
  </si>
  <si>
    <t>POST-60581</t>
  </si>
  <si>
    <t>POST-60582</t>
  </si>
  <si>
    <t>POST-60583</t>
  </si>
  <si>
    <t>POST-60584</t>
  </si>
  <si>
    <t>POST-60585</t>
  </si>
  <si>
    <t>POST-60586</t>
  </si>
  <si>
    <t>POST-60587</t>
  </si>
  <si>
    <t>POST-60588</t>
  </si>
  <si>
    <t>POST-60589</t>
  </si>
  <si>
    <t>POST-60590</t>
  </si>
  <si>
    <t>POST-60591</t>
  </si>
  <si>
    <t>POST-60592</t>
  </si>
  <si>
    <t>POST-60593</t>
  </si>
  <si>
    <t>POST-60594</t>
  </si>
  <si>
    <t>POST-60595</t>
  </si>
  <si>
    <t>POST-60596</t>
  </si>
  <si>
    <t>POST-60597</t>
  </si>
  <si>
    <t>POST-60598</t>
  </si>
  <si>
    <t>POST-60599</t>
  </si>
  <si>
    <t>POST-60600</t>
  </si>
  <si>
    <t>POST-60601</t>
  </si>
  <si>
    <t>POST-60602</t>
  </si>
  <si>
    <t>POST-60603</t>
  </si>
  <si>
    <t>POST-60604</t>
  </si>
  <si>
    <t>POST-60605</t>
  </si>
  <si>
    <t>POST-60606</t>
  </si>
  <si>
    <t>POST-60607</t>
  </si>
  <si>
    <t>POST-60608</t>
  </si>
  <si>
    <t>POST-60609</t>
  </si>
  <si>
    <t>POST-60610</t>
  </si>
  <si>
    <t>POST-60611</t>
  </si>
  <si>
    <t>POST-60612</t>
  </si>
  <si>
    <t>POST-60613</t>
  </si>
  <si>
    <t>POST-60614</t>
  </si>
  <si>
    <t>POST-60615</t>
  </si>
  <si>
    <t>POST-60616</t>
  </si>
  <si>
    <t>POST-60617</t>
  </si>
  <si>
    <t>POST-60618</t>
  </si>
  <si>
    <t>POST-60619</t>
  </si>
  <si>
    <t>POST-60620</t>
  </si>
  <si>
    <t>POST-60621</t>
  </si>
  <si>
    <t>POST-60622</t>
  </si>
  <si>
    <t>POST-60623</t>
  </si>
  <si>
    <t>POST-60624</t>
  </si>
  <si>
    <t>POST-60625</t>
  </si>
  <si>
    <t>POST-60626</t>
  </si>
  <si>
    <t>POST-60627</t>
  </si>
  <si>
    <t>POST-60628</t>
  </si>
  <si>
    <t>POST-60629</t>
  </si>
  <si>
    <t>POST-60630</t>
  </si>
  <si>
    <t>POST-60631</t>
  </si>
  <si>
    <t>POST-60632</t>
  </si>
  <si>
    <t>POST-60633</t>
  </si>
  <si>
    <t>POST-60634</t>
  </si>
  <si>
    <t>POST-60635</t>
  </si>
  <si>
    <t>POST-60636</t>
  </si>
  <si>
    <t>POST-60637</t>
  </si>
  <si>
    <t>POST-60638</t>
  </si>
  <si>
    <t>POST-60639</t>
  </si>
  <si>
    <t>POST-60640</t>
  </si>
  <si>
    <t>POST-60641</t>
  </si>
  <si>
    <t>POST-60642</t>
  </si>
  <si>
    <t>POST-60643</t>
  </si>
  <si>
    <t>POST-60644</t>
  </si>
  <si>
    <t>POST-60645</t>
  </si>
  <si>
    <t>POST-60646</t>
  </si>
  <si>
    <t>POST-60647</t>
  </si>
  <si>
    <t>POST-60648</t>
  </si>
  <si>
    <t>POST-60649</t>
  </si>
  <si>
    <t>POST-60650</t>
  </si>
  <si>
    <t>POST-60651</t>
  </si>
  <si>
    <t>POST-60652</t>
  </si>
  <si>
    <t>POST-60653</t>
  </si>
  <si>
    <t>POST-60654</t>
  </si>
  <si>
    <t>POST-60655</t>
  </si>
  <si>
    <t>POST-60656</t>
  </si>
  <si>
    <t>POST-60657</t>
  </si>
  <si>
    <t>POST-60658</t>
  </si>
  <si>
    <t>POST-60659</t>
  </si>
  <si>
    <t>POST-60660</t>
  </si>
  <si>
    <t>POST-60661</t>
  </si>
  <si>
    <t>POST-60662</t>
  </si>
  <si>
    <t>POST-60663</t>
  </si>
  <si>
    <t>POST-60664</t>
  </si>
  <si>
    <t>POST-60665</t>
  </si>
  <si>
    <t>POST-60666</t>
  </si>
  <si>
    <t>POST-60667</t>
  </si>
  <si>
    <t>POST-60668</t>
  </si>
  <si>
    <t>POST-60669</t>
  </si>
  <si>
    <t>POST-60670</t>
  </si>
  <si>
    <t>POST-60671</t>
  </si>
  <si>
    <t>POST-60672</t>
  </si>
  <si>
    <t>POST-60673</t>
  </si>
  <si>
    <t>POST-60674</t>
  </si>
  <si>
    <t>POST-60675</t>
  </si>
  <si>
    <t>POST-60676</t>
  </si>
  <si>
    <t>POST-60677</t>
  </si>
  <si>
    <t>POST-60678</t>
  </si>
  <si>
    <t>POST-60679</t>
  </si>
  <si>
    <t>POST-60680</t>
  </si>
  <si>
    <t>POST-60681</t>
  </si>
  <si>
    <t>POST-60682</t>
  </si>
  <si>
    <t>POST-60683</t>
  </si>
  <si>
    <t>POST-60684</t>
  </si>
  <si>
    <t>POST-60685</t>
  </si>
  <si>
    <t>POST-60686</t>
  </si>
  <si>
    <t>POST-60687</t>
  </si>
  <si>
    <t>POST-60688</t>
  </si>
  <si>
    <t>POST-60689</t>
  </si>
  <si>
    <t>POST-60690</t>
  </si>
  <si>
    <t>POST-60691</t>
  </si>
  <si>
    <t>POST-60692</t>
  </si>
  <si>
    <t>POST-60693</t>
  </si>
  <si>
    <t>POST-60694</t>
  </si>
  <si>
    <t>POST-60695</t>
  </si>
  <si>
    <t>POST-60696</t>
  </si>
  <si>
    <t>POST-60697</t>
  </si>
  <si>
    <t>POST-60698</t>
  </si>
  <si>
    <t>POST-60699</t>
  </si>
  <si>
    <t>POST-60700</t>
  </si>
  <si>
    <t>POST-60701</t>
  </si>
  <si>
    <t>POST-60702</t>
  </si>
  <si>
    <t>POST-60703</t>
  </si>
  <si>
    <t>POST-60704</t>
  </si>
  <si>
    <t>POST-60705</t>
  </si>
  <si>
    <t>POST-60706</t>
  </si>
  <si>
    <t>POST-60707</t>
  </si>
  <si>
    <t>POST-60708</t>
  </si>
  <si>
    <t>POST-60709</t>
  </si>
  <si>
    <t>POST-60710</t>
  </si>
  <si>
    <t>POST-60711</t>
  </si>
  <si>
    <t>POST-60712</t>
  </si>
  <si>
    <t>POST-60713</t>
  </si>
  <si>
    <t>POST-60714</t>
  </si>
  <si>
    <t>POST-60715</t>
  </si>
  <si>
    <t>POST-60716</t>
  </si>
  <si>
    <t>POST-60717</t>
  </si>
  <si>
    <t>POST-60718</t>
  </si>
  <si>
    <t>POST-60719</t>
  </si>
  <si>
    <t>POST-60720</t>
  </si>
  <si>
    <t>POST-60721</t>
  </si>
  <si>
    <t>POST-60722</t>
  </si>
  <si>
    <t>POST-60723</t>
  </si>
  <si>
    <t>POST-60724</t>
  </si>
  <si>
    <t>POST-60725</t>
  </si>
  <si>
    <t>POST-60726</t>
  </si>
  <si>
    <t>POST-60727</t>
  </si>
  <si>
    <t>POST-60728</t>
  </si>
  <si>
    <t>POST-60729</t>
  </si>
  <si>
    <t>POST-60730</t>
  </si>
  <si>
    <t>POST-60731</t>
  </si>
  <si>
    <t>POST-60732</t>
  </si>
  <si>
    <t>POST-60733</t>
  </si>
  <si>
    <t>POST-60734</t>
  </si>
  <si>
    <t>POST-60735</t>
  </si>
  <si>
    <t>POST-60736</t>
  </si>
  <si>
    <t>POST-60737</t>
  </si>
  <si>
    <t>POST-60738</t>
  </si>
  <si>
    <t>POST-60739</t>
  </si>
  <si>
    <t>POST-60740</t>
  </si>
  <si>
    <t>POST-60741</t>
  </si>
  <si>
    <t>POST-60742</t>
  </si>
  <si>
    <t>POST-60743</t>
  </si>
  <si>
    <t>POST-60744</t>
  </si>
  <si>
    <t>POST-60745</t>
  </si>
  <si>
    <t>POST-60746</t>
  </si>
  <si>
    <t>POST-60747</t>
  </si>
  <si>
    <t>POST-60748</t>
  </si>
  <si>
    <t>POST-60749</t>
  </si>
  <si>
    <t>POST-60750</t>
  </si>
  <si>
    <t>POST-60751</t>
  </si>
  <si>
    <t>POST-60752</t>
  </si>
  <si>
    <t>POST-60753</t>
  </si>
  <si>
    <t>POST-60754</t>
  </si>
  <si>
    <t>POST-60755</t>
  </si>
  <si>
    <t>POST-60756</t>
  </si>
  <si>
    <t>POST-60757</t>
  </si>
  <si>
    <t>POST-60758</t>
  </si>
  <si>
    <t>POST-60759</t>
  </si>
  <si>
    <t>POST-60760</t>
  </si>
  <si>
    <t>POST-60761</t>
  </si>
  <si>
    <t>POST-60762</t>
  </si>
  <si>
    <t>POST-60763</t>
  </si>
  <si>
    <t>POST-60764</t>
  </si>
  <si>
    <t>POST-60765</t>
  </si>
  <si>
    <t>POST-60766</t>
  </si>
  <si>
    <t>POST-60767</t>
  </si>
  <si>
    <t>POST-60768</t>
  </si>
  <si>
    <t>POST-60769</t>
  </si>
  <si>
    <t>POST-60770</t>
  </si>
  <si>
    <t>POST-60771</t>
  </si>
  <si>
    <t>POST-60772</t>
  </si>
  <si>
    <t>POST-60773</t>
  </si>
  <si>
    <t>POST-60774</t>
  </si>
  <si>
    <t>POST-60775</t>
  </si>
  <si>
    <t>POST-60776</t>
  </si>
  <si>
    <t>POST-60777</t>
  </si>
  <si>
    <t>POST-60778</t>
  </si>
  <si>
    <t>POST-60779</t>
  </si>
  <si>
    <t>POST-60780</t>
  </si>
  <si>
    <t>POST-60781</t>
  </si>
  <si>
    <t>POST-60782</t>
  </si>
  <si>
    <t>POST-60783</t>
  </si>
  <si>
    <t>POST-60784</t>
  </si>
  <si>
    <t>POST-60785</t>
  </si>
  <si>
    <t>POST-60786</t>
  </si>
  <si>
    <t>POST-60787</t>
  </si>
  <si>
    <t>POST-60788</t>
  </si>
  <si>
    <t>POST-60789</t>
  </si>
  <si>
    <t>POST-60790</t>
  </si>
  <si>
    <t>POST-60791</t>
  </si>
  <si>
    <t>POST-60792</t>
  </si>
  <si>
    <t>POST-60793</t>
  </si>
  <si>
    <t>POST-60794</t>
  </si>
  <si>
    <t>POST-60795</t>
  </si>
  <si>
    <t>POST-60796</t>
  </si>
  <si>
    <t>POST-60797</t>
  </si>
  <si>
    <t>POST-60798</t>
  </si>
  <si>
    <t>POST-60799</t>
  </si>
  <si>
    <t>POST-60800</t>
  </si>
  <si>
    <t>POST-60801</t>
  </si>
  <si>
    <t>POST-60802</t>
  </si>
  <si>
    <t>POST-60803</t>
  </si>
  <si>
    <t>POST-60804</t>
  </si>
  <si>
    <t>POST-60805</t>
  </si>
  <si>
    <t>POST-60806</t>
  </si>
  <si>
    <t>POST-60807</t>
  </si>
  <si>
    <t>POST-60808</t>
  </si>
  <si>
    <t>POST-60809</t>
  </si>
  <si>
    <t>POST-60810</t>
  </si>
  <si>
    <t>POST-60811</t>
  </si>
  <si>
    <t>POST-60812</t>
  </si>
  <si>
    <t>POST-60813</t>
  </si>
  <si>
    <t>POST-60814</t>
  </si>
  <si>
    <t>POST-60815</t>
  </si>
  <si>
    <t>POST-60816</t>
  </si>
  <si>
    <t>POST-60817</t>
  </si>
  <si>
    <t>POST-60818</t>
  </si>
  <si>
    <t>POST-60819</t>
  </si>
  <si>
    <t>POST-60820</t>
  </si>
  <si>
    <t>POST-60821</t>
  </si>
  <si>
    <t>POST-60822</t>
  </si>
  <si>
    <t>POST-60823</t>
  </si>
  <si>
    <t>POST-60824</t>
  </si>
  <si>
    <t>POST-60825</t>
  </si>
  <si>
    <t>POST-60826</t>
  </si>
  <si>
    <t>POST-60827</t>
  </si>
  <si>
    <t>POST-60828</t>
  </si>
  <si>
    <t>POST-60829</t>
  </si>
  <si>
    <t>POST-60830</t>
  </si>
  <si>
    <t>POST-60831</t>
  </si>
  <si>
    <t>POST-60832</t>
  </si>
  <si>
    <t>POST-60833</t>
  </si>
  <si>
    <t>POST-60834</t>
  </si>
  <si>
    <t>POST-60835</t>
  </si>
  <si>
    <t>POST-60836</t>
  </si>
  <si>
    <t>POST-60837</t>
  </si>
  <si>
    <t>POST-60838</t>
  </si>
  <si>
    <t>POST-60839</t>
  </si>
  <si>
    <t>POST-60840</t>
  </si>
  <si>
    <t>POST-60841</t>
  </si>
  <si>
    <t>POST-60842</t>
  </si>
  <si>
    <t>POST-60843</t>
  </si>
  <si>
    <t>POST-60844</t>
  </si>
  <si>
    <t>POST-60845</t>
  </si>
  <si>
    <t>POST-60846</t>
  </si>
  <si>
    <t>POST-60847</t>
  </si>
  <si>
    <t>POST-60848</t>
  </si>
  <si>
    <t>POST-60849</t>
  </si>
  <si>
    <t>POST-60850</t>
  </si>
  <si>
    <t>POST-60851</t>
  </si>
  <si>
    <t>POST-60852</t>
  </si>
  <si>
    <t>POST-60853</t>
  </si>
  <si>
    <t>POST-60854</t>
  </si>
  <si>
    <t>POST-60855</t>
  </si>
  <si>
    <t>POST-60856</t>
  </si>
  <si>
    <t>POST-60857</t>
  </si>
  <si>
    <t>POST-60858</t>
  </si>
  <si>
    <t>POST-60859</t>
  </si>
  <si>
    <t>POST-60860</t>
  </si>
  <si>
    <t>POST-60861</t>
  </si>
  <si>
    <t>POST-60862</t>
  </si>
  <si>
    <t>POST-60863</t>
  </si>
  <si>
    <t>POST-60864</t>
  </si>
  <si>
    <t>POST-60865</t>
  </si>
  <si>
    <t>POST-60866</t>
  </si>
  <si>
    <t>POST-60867</t>
  </si>
  <si>
    <t>POST-60868</t>
  </si>
  <si>
    <t>POST-60869</t>
  </si>
  <si>
    <t>POST-60870</t>
  </si>
  <si>
    <t>POST-60871</t>
  </si>
  <si>
    <t>POST-60872</t>
  </si>
  <si>
    <t>POST-60873</t>
  </si>
  <si>
    <t>POST-60874</t>
  </si>
  <si>
    <t>POST-60875</t>
  </si>
  <si>
    <t>POST-60876</t>
  </si>
  <si>
    <t>POST-60877</t>
  </si>
  <si>
    <t>POST-60878</t>
  </si>
  <si>
    <t>POST-60879</t>
  </si>
  <si>
    <t>POST-60880</t>
  </si>
  <si>
    <t>POST-60881</t>
  </si>
  <si>
    <t>POST-60882</t>
  </si>
  <si>
    <t>POST-60883</t>
  </si>
  <si>
    <t>POST-60884</t>
  </si>
  <si>
    <t>POST-60885</t>
  </si>
  <si>
    <t>POST-60886</t>
  </si>
  <si>
    <t>POST-60887</t>
  </si>
  <si>
    <t>POST-60888</t>
  </si>
  <si>
    <t>POST-60889</t>
  </si>
  <si>
    <t>POST-60890</t>
  </si>
  <si>
    <t>POST-60891</t>
  </si>
  <si>
    <t>POST-60892</t>
  </si>
  <si>
    <t>POST-60893</t>
  </si>
  <si>
    <t>POST-60894</t>
  </si>
  <si>
    <t>POST-60895</t>
  </si>
  <si>
    <t>POST-60896</t>
  </si>
  <si>
    <t>POST-60897</t>
  </si>
  <si>
    <t>POST-60898</t>
  </si>
  <si>
    <t>POST-60899</t>
  </si>
  <si>
    <t>POST-60900</t>
  </si>
  <si>
    <t>POST-60901</t>
  </si>
  <si>
    <t>POST-60902</t>
  </si>
  <si>
    <t>POST-60903</t>
  </si>
  <si>
    <t>POST-60904</t>
  </si>
  <si>
    <t>POST-60905</t>
  </si>
  <si>
    <t>POST-60906</t>
  </si>
  <si>
    <t>POST-60907</t>
  </si>
  <si>
    <t>POST-60908</t>
  </si>
  <si>
    <t>POST-60909</t>
  </si>
  <si>
    <t>POST-60910</t>
  </si>
  <si>
    <t>POST-60911</t>
  </si>
  <si>
    <t>POST-60912</t>
  </si>
  <si>
    <t>POST-60913</t>
  </si>
  <si>
    <t>POST-60914</t>
  </si>
  <si>
    <t>POST-60915</t>
  </si>
  <si>
    <t>POST-60916</t>
  </si>
  <si>
    <t>POST-60917</t>
  </si>
  <si>
    <t>POST-60918</t>
  </si>
  <si>
    <t>POST-60919</t>
  </si>
  <si>
    <t>POST-60920</t>
  </si>
  <si>
    <t>POST-60921</t>
  </si>
  <si>
    <t>POST-60922</t>
  </si>
  <si>
    <t>POST-60923</t>
  </si>
  <si>
    <t>POST-60924</t>
  </si>
  <si>
    <t>POST-60925</t>
  </si>
  <si>
    <t>POST-60926</t>
  </si>
  <si>
    <t>POST-60927</t>
  </si>
  <si>
    <t>POST-60928</t>
  </si>
  <si>
    <t>POST-60929</t>
  </si>
  <si>
    <t>POST-60930</t>
  </si>
  <si>
    <t>POST-60931</t>
  </si>
  <si>
    <t>POST-60932</t>
  </si>
  <si>
    <t>POST-60933</t>
  </si>
  <si>
    <t>POST-60934</t>
  </si>
  <si>
    <t>POST-60935</t>
  </si>
  <si>
    <t>POST-60936</t>
  </si>
  <si>
    <t>POST-60937</t>
  </si>
  <si>
    <t>POST-60938</t>
  </si>
  <si>
    <t>POST-60939</t>
  </si>
  <si>
    <t>POST-60940</t>
  </si>
  <si>
    <t>POST-60941</t>
  </si>
  <si>
    <t>POST-60942</t>
  </si>
  <si>
    <t>POST-60943</t>
  </si>
  <si>
    <t>POST-60944</t>
  </si>
  <si>
    <t>POST-60945</t>
  </si>
  <si>
    <t>POST-60946</t>
  </si>
  <si>
    <t>POST-60947</t>
  </si>
  <si>
    <t>POST-60948</t>
  </si>
  <si>
    <t>POST-60949</t>
  </si>
  <si>
    <t>POST-60950</t>
  </si>
  <si>
    <t>POST-60951</t>
  </si>
  <si>
    <t>POST-60952</t>
  </si>
  <si>
    <t>POST-60953</t>
  </si>
  <si>
    <t>POST-60954</t>
  </si>
  <si>
    <t>POST-60955</t>
  </si>
  <si>
    <t>POST-60956</t>
  </si>
  <si>
    <t>POST-60957</t>
  </si>
  <si>
    <t>POST-60958</t>
  </si>
  <si>
    <t>POST-60959</t>
  </si>
  <si>
    <t>POST-60960</t>
  </si>
  <si>
    <t>POST-60961</t>
  </si>
  <si>
    <t>POST-60962</t>
  </si>
  <si>
    <t>POST-60963</t>
  </si>
  <si>
    <t>POST-60964</t>
  </si>
  <si>
    <t>POST-60965</t>
  </si>
  <si>
    <t>POST-60966</t>
  </si>
  <si>
    <t>POST-60967</t>
  </si>
  <si>
    <t>POST-60968</t>
  </si>
  <si>
    <t>POST-60969</t>
  </si>
  <si>
    <t>POST-60970</t>
  </si>
  <si>
    <t>POST-60971</t>
  </si>
  <si>
    <t>POST-60972</t>
  </si>
  <si>
    <t>POST-60973</t>
  </si>
  <si>
    <t>POST-60974</t>
  </si>
  <si>
    <t>POST-60975</t>
  </si>
  <si>
    <t>POST-60976</t>
  </si>
  <si>
    <t>POST-60977</t>
  </si>
  <si>
    <t>POST-60978</t>
  </si>
  <si>
    <t>POST-60979</t>
  </si>
  <si>
    <t>POST-60980</t>
  </si>
  <si>
    <t>POST-60981</t>
  </si>
  <si>
    <t>POST-60982</t>
  </si>
  <si>
    <t>POST-60983</t>
  </si>
  <si>
    <t>POST-60984</t>
  </si>
  <si>
    <t>POST-60985</t>
  </si>
  <si>
    <t>POST-60986</t>
  </si>
  <si>
    <t>POST-60987</t>
  </si>
  <si>
    <t>POST-60988</t>
  </si>
  <si>
    <t>POST-60989</t>
  </si>
  <si>
    <t>POST-60990</t>
  </si>
  <si>
    <t>POST-60991</t>
  </si>
  <si>
    <t>POST-60992</t>
  </si>
  <si>
    <t>POST-60993</t>
  </si>
  <si>
    <t>POST-60994</t>
  </si>
  <si>
    <t>POST-60995</t>
  </si>
  <si>
    <t>POST-60996</t>
  </si>
  <si>
    <t>POST-60997</t>
  </si>
  <si>
    <t>POST-60998</t>
  </si>
  <si>
    <t>POST-60999</t>
  </si>
  <si>
    <t>POST-61000</t>
  </si>
  <si>
    <t>Potential Analysis/Questions</t>
  </si>
  <si>
    <t>1. Which platform drives the highest reach and impressions per post?</t>
  </si>
  <si>
    <t>2. Which platform has the highest average engagement rate?</t>
  </si>
  <si>
    <t>3. Does a platform's post volume correlate with its engagement quality, or are some platforms "low volume, high impact"?</t>
  </si>
  <si>
    <t>4. Which content type generates the highest engagement rate?</t>
  </si>
  <si>
    <t>5. Which content type is most efficient at converting impressions into reach?</t>
  </si>
  <si>
    <t>6. Which platform &amp; content-type combination performs best?</t>
  </si>
  <si>
    <t>7. What's the mix of likes, comments, shares within total engaement, and does that mix vary by platform or content type?</t>
  </si>
  <si>
    <t>8. Do posts with higher share counts also have higher engagement rates?</t>
  </si>
  <si>
    <t>9. What is the average reach rate, and which platform/content type is most efficient at turning impressions into reach?</t>
  </si>
  <si>
    <t>10. Are there posts with unusually low reach relative to impressions?</t>
  </si>
  <si>
    <t>11. Is there a monthly or seasonal pattern in posting volume or engagement rate across 2024-2025?</t>
  </si>
  <si>
    <t>12. Does engagement rate trend up or down over the two-year period?</t>
  </si>
  <si>
    <t>13. Are there particular months/quarters that consistently outperform?</t>
  </si>
  <si>
    <t>14. What are the top 10 posts by engagement rate, and what do they have in common?</t>
  </si>
  <si>
    <t>15. Which platform/content type combination underperforms?</t>
  </si>
  <si>
    <t>Row Labels</t>
  </si>
  <si>
    <t>Grand Total</t>
  </si>
  <si>
    <t>Count of Post ID</t>
  </si>
  <si>
    <t>Average of Impressions</t>
  </si>
  <si>
    <t>Average of Reach Rate</t>
  </si>
  <si>
    <t>Average of Engagement Rate %</t>
  </si>
  <si>
    <t>Metrics</t>
  </si>
  <si>
    <t>Value</t>
  </si>
  <si>
    <t>Total Post</t>
  </si>
  <si>
    <t>Avg Engagement Rate</t>
  </si>
  <si>
    <t>Avg Reach Rate</t>
  </si>
  <si>
    <t>Year</t>
  </si>
  <si>
    <t>Sum of Engagement Rate %</t>
  </si>
  <si>
    <t>Average Impressions</t>
  </si>
  <si>
    <t>Average Engagement Rate %</t>
  </si>
  <si>
    <t>Sum of Like %</t>
  </si>
  <si>
    <t>Sum of Comments %</t>
  </si>
  <si>
    <t>Sum of Shares %</t>
  </si>
  <si>
    <t>2024</t>
  </si>
  <si>
    <t>2025</t>
  </si>
  <si>
    <t>May</t>
  </si>
  <si>
    <t>Month</t>
  </si>
  <si>
    <t>Avg Engagement %</t>
  </si>
  <si>
    <t>Rank</t>
  </si>
  <si>
    <t>BEST</t>
  </si>
  <si>
    <t>WORST</t>
  </si>
  <si>
    <t>January</t>
  </si>
  <si>
    <t>February</t>
  </si>
  <si>
    <t>March</t>
  </si>
  <si>
    <t>April</t>
  </si>
  <si>
    <t>June</t>
  </si>
  <si>
    <t>July</t>
  </si>
  <si>
    <t>August</t>
  </si>
  <si>
    <t>September</t>
  </si>
  <si>
    <t>October</t>
  </si>
  <si>
    <t>November</t>
  </si>
  <si>
    <t>December</t>
  </si>
  <si>
    <t>Column Labels</t>
  </si>
  <si>
    <t>Sum of Shares</t>
  </si>
  <si>
    <t>Sum of Impressions</t>
  </si>
  <si>
    <t>Sum of Reach</t>
  </si>
  <si>
    <t>Count of Platform</t>
  </si>
  <si>
    <t>Count of Content Type</t>
  </si>
  <si>
    <t>Platform &amp; Content Dashboard - Analysis Insights</t>
  </si>
  <si>
    <t>TikTok Leads Across the Board</t>
  </si>
  <si>
    <t>Short-Form Video Outperforms Static Formats</t>
  </si>
  <si>
    <t>TikTok Video and Reel Are the Standout Combination</t>
  </si>
  <si>
    <t>Engagement Mix Shifts by Platform</t>
  </si>
  <si>
    <t>Engagement Trend Dashboard - Analysis Insights</t>
  </si>
  <si>
    <t>Performance Holds Steady Year-Round</t>
  </si>
  <si>
    <t>Best and Worst Months</t>
  </si>
  <si>
    <t>Top Performers Dashboard - Analysis Insights</t>
  </si>
  <si>
    <t>TikTok Sweeps the Top 10</t>
  </si>
  <si>
    <t>Shares Show Diminishing Returns</t>
  </si>
  <si>
    <t>Reach Outliers Worth Investigating</t>
  </si>
  <si>
    <t>General Observations</t>
  </si>
  <si>
    <t>1. TikTok Dominance</t>
  </si>
  <si>
    <t>TikTok posts average 233,931 impressions and a 12.26% engagement rate, more than double every other platform.</t>
  </si>
  <si>
    <t>Instagram is next at 6.46%, so the gap isn't close. TikTok should get first call on content investment.</t>
  </si>
  <si>
    <t>Reels average 10.30% engagement, Video 7.96%. Image, Carousel, and Text all sit under 6%.</t>
  </si>
  <si>
    <t>Worth shifting the content mix toward short video and away from static formats.</t>
  </si>
  <si>
    <t>TikTok Video (12.31%) and TikTok Reel (12.23%) beat every other platform-content pairing, including Instagram Video at 6.64%.</t>
  </si>
  <si>
    <t>The lift is specific to TikTok's short video, not video in general, so it's not safe to assume the same format will perform the same way elsewhere.</t>
  </si>
  <si>
    <t>Likes make up 62.6% of engagement overall, Shares 22.8%, Comments 14.6%.</t>
  </si>
  <si>
    <t>But the split varies a lot by platform: Instagram is 78% Likes, LinkedIn leans hardest into Comments (24.7%), and Twitter and Facebook get more of their engagement from Shares (34.6% and 30.6%).</t>
  </si>
  <si>
    <t>There's room to design more comment-driving content outside LinkedIn.</t>
  </si>
  <si>
    <t>Engagement rate stayed in a fairly narrow band across 24 months, roughly 6.3% to 8.7%, with nothing that looks like a seasonal spike or slump.</t>
  </si>
  <si>
    <t>Format and platform choices are doing more work here than timing.</t>
  </si>
  <si>
    <t>February 2024 was the strongest month (8.65%), December 2025 the weakest (6.29%).</t>
  </si>
  <si>
    <t>They're almost two years apart, which points to normal variation rather than a repeating pattern, so it's a fact worth noting but not something to plan a calendar around.</t>
  </si>
  <si>
    <t>Every one of the top 10 posts by engagement rate is TikTok, seven Reels and three Videos.</t>
  </si>
  <si>
    <t>The platform-level trend holds at the individual post level too.</t>
  </si>
  <si>
    <t>Engagement rate climbs fast up to about 2,000 shares, then flattens.</t>
  </si>
  <si>
    <t>Past that point, share count is a better early signal than a target worth chasing.</t>
  </si>
  <si>
    <t>Impressions and reach track closely for most posts, but a handful sit well below the trendline.</t>
  </si>
  <si>
    <t>Those are worth a closer look, since they may point to a distribution or algorithm issue rather than a content problem.</t>
  </si>
  <si>
    <t>TikTok leads on impressions, engagement rate, and its share of top-performing posts.</t>
  </si>
  <si>
    <t>2. Video Format Advantage</t>
  </si>
  <si>
    <t>Reels and Video beat static formats on every platform, not just TikTok.</t>
  </si>
  <si>
    <t>3. Stable Performance Over Time</t>
  </si>
  <si>
    <t>Engagement rate holds steady across the year with no clear seasonal swing.</t>
  </si>
  <si>
    <t>4. Likes Lead the Engagement Mix</t>
  </si>
  <si>
    <t>Likes are 62.6% of engagement, Shares 22.8%, Comments 14.6%.</t>
  </si>
  <si>
    <t>5. Platform-Specific Engagement Styles</t>
  </si>
  <si>
    <t>LinkedIn skews toward comments, Twitter and Facebook toward shares.</t>
  </si>
  <si>
    <t>6. Predictable Reach Conversion</t>
  </si>
  <si>
    <t>Impressions and reach are closely correlated, aside from a few exceptions.</t>
  </si>
  <si>
    <t>7. Diminishing Returns on Shares</t>
  </si>
  <si>
    <t>High-share posts don't keep gaining engagement rate past a certain point.</t>
  </si>
  <si>
    <t>8. TikTok's Advantage Is Format-Specific</t>
  </si>
  <si>
    <t>It's concentrated in Video and Reel, not TikTok content generally.</t>
  </si>
  <si>
    <t>9. Text and Image Underperform Consistently</t>
  </si>
  <si>
    <t>These are the weakest formats across every platform.</t>
  </si>
  <si>
    <t>10. Concentration in Top Performers</t>
  </si>
  <si>
    <t>TikTok Video and Reel account for most of the top individual posts.</t>
  </si>
  <si>
    <t>Recommendations</t>
  </si>
  <si>
    <t>1. Prioritize TikTok Investment</t>
  </si>
  <si>
    <t>Put new content budget and testing toward TikTok first.</t>
  </si>
  <si>
    <t>2. Shift Toward Short-Form Video</t>
  </si>
  <si>
    <t>Grow Reel and Video, cut back on Image and Text.</t>
  </si>
  <si>
    <t>3. Focus on Format Over Season</t>
  </si>
  <si>
    <t>Spend planning time on what to post, not when.</t>
  </si>
  <si>
    <t>4. Design for Discussion</t>
  </si>
  <si>
    <t>Add more questions and polls, especially off LinkedIn where comments lag.</t>
  </si>
  <si>
    <t>5. Cross-Apply Platform Lessons</t>
  </si>
  <si>
    <t>Look at what LinkedIn does to earn comments and what Twitter/Facebook do to earn shares, and borrow from both.</t>
  </si>
  <si>
    <t>6. Investigate Reach Outliers</t>
  </si>
  <si>
    <t>Dig into the posts underperforming on reach relative to impressions.</t>
  </si>
  <si>
    <t>7. Treat Shares as a Signal, Not a Target</t>
  </si>
  <si>
    <t>Use share count as an early read, not something to keep pushing.</t>
  </si>
  <si>
    <t>8. Test Before Assuming Transferability</t>
  </si>
  <si>
    <t>Confirm video works on each platform before assuming TikTok's results carry over.</t>
  </si>
  <si>
    <t>9. Reduce Investment in Weak Formats</t>
  </si>
  <si>
    <t>Pull back on Text and Image unless a specific platform proves the exception.</t>
  </si>
  <si>
    <t>10. Build a Monitoring Habit</t>
  </si>
  <si>
    <t>Check the dashboard monthly; the current stability makes any future shift easy to 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</si>
</sst>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0.00&quot;%&quot;"/>
  </numFmts>
  <fonts count="8" x14ac:knownFonts="1">
    <font>
      <sz val="11"/>
      <color theme="1"/>
      <name val="Aptos Narrow"/>
      <family val="2"/>
      <scheme val="minor"/>
    </font>
    <font>
      <b/>
      <sz val="11"/>
      <color rgb="FFFFFFFF"/>
      <name val="Aptos Narrow"/>
      <family val="2"/>
      <scheme val="minor"/>
    </font>
    <font>
      <sz val="11"/>
      <color theme="1"/>
      <name val="Aptos Narrow"/>
      <family val="2"/>
      <scheme val="minor"/>
    </font>
    <font>
      <b/>
      <sz val="11"/>
      <color theme="1"/>
      <name val="Aptos Narrow"/>
      <family val="2"/>
      <scheme val="minor"/>
    </font>
    <font>
      <b/>
      <sz val="20"/>
      <color theme="0"/>
      <name val="Aptos Narrow"/>
      <family val="2"/>
      <scheme val="minor"/>
    </font>
    <font>
      <sz val="20"/>
      <color theme="1"/>
      <name val="Aptos Narrow"/>
      <family val="2"/>
      <scheme val="minor"/>
    </font>
    <font>
      <sz val="8"/>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theme="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2" borderId="0" xfId="0" applyFont="1" applyFill="1" applyAlignment="1">
      <alignment horizontal="center"/>
    </xf>
    <xf numFmtId="3" fontId="0" fillId="0" borderId="0" xfId="0" applyNumberFormat="1"/>
    <xf numFmtId="0" fontId="4" fillId="3" borderId="0" xfId="0" applyFont="1" applyFill="1"/>
    <xf numFmtId="0" fontId="5" fillId="3" borderId="0" xfId="0" applyFont="1" applyFill="1"/>
    <xf numFmtId="10" fontId="0" fillId="0" borderId="0" xfId="0" applyNumberFormat="1"/>
    <xf numFmtId="0" fontId="0" fillId="0" borderId="0" xfId="0" pivotButton="1"/>
    <xf numFmtId="0" fontId="0" fillId="0" borderId="0" xfId="0" applyAlignment="1">
      <alignment horizontal="left"/>
    </xf>
    <xf numFmtId="0" fontId="3" fillId="4" borderId="1" xfId="0" applyFont="1" applyFill="1" applyBorder="1"/>
    <xf numFmtId="10" fontId="0" fillId="0" borderId="0" xfId="1" applyNumberFormat="1" applyFont="1"/>
    <xf numFmtId="14" fontId="0" fillId="0" borderId="0" xfId="0" applyNumberFormat="1"/>
    <xf numFmtId="164" fontId="0" fillId="0" borderId="0" xfId="0" applyNumberFormat="1" applyAlignment="1">
      <alignment horizontal="center"/>
    </xf>
    <xf numFmtId="0" fontId="0" fillId="0" borderId="0" xfId="0" applyAlignment="1">
      <alignment horizontal="left" indent="1"/>
    </xf>
    <xf numFmtId="10" fontId="0" fillId="0" borderId="0" xfId="1" applyNumberFormat="1" applyFon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5" fontId="0" fillId="0" borderId="0" xfId="0" applyNumberFormat="1"/>
    <xf numFmtId="0" fontId="3" fillId="0" borderId="0" xfId="0" applyFont="1"/>
    <xf numFmtId="14" fontId="0" fillId="0" borderId="0" xfId="0" applyNumberFormat="1" applyAlignment="1">
      <alignment horizontal="center"/>
    </xf>
    <xf numFmtId="10" fontId="3" fillId="0" borderId="0" xfId="1" applyNumberFormat="1" applyFont="1"/>
    <xf numFmtId="0" fontId="0" fillId="3" borderId="0" xfId="0" applyFill="1"/>
    <xf numFmtId="0" fontId="7" fillId="3" borderId="0" xfId="0" applyFont="1" applyFill="1"/>
    <xf numFmtId="0" fontId="0" fillId="0" borderId="0" xfId="0" applyNumberFormat="1"/>
    <xf numFmtId="0" fontId="0" fillId="0" borderId="0" xfId="0" applyFont="1"/>
  </cellXfs>
  <cellStyles count="2">
    <cellStyle name="Normal" xfId="0" builtinId="0"/>
    <cellStyle name="Percent" xfId="1" builtinId="5"/>
  </cellStyles>
  <dxfs count="36">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4" formatCode="0.00%"/>
    </dxf>
    <dxf>
      <numFmt numFmtId="13" formatCode="0%"/>
    </dxf>
    <dxf>
      <numFmt numFmtId="13" formatCode="0%"/>
    </dxf>
    <dxf>
      <numFmt numFmtId="14" formatCode="0.00%"/>
    </dxf>
    <dxf>
      <numFmt numFmtId="14" formatCode="0.00%"/>
    </dxf>
    <dxf>
      <numFmt numFmtId="14" formatCode="0.00%"/>
    </dxf>
    <dxf>
      <numFmt numFmtId="13" formatCode="0%"/>
    </dxf>
    <dxf>
      <numFmt numFmtId="13" formatCode="0%"/>
    </dxf>
    <dxf>
      <numFmt numFmtId="14" formatCode="0.0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Dashboard" pivot="0" table="0" count="10" xr9:uid="{E69B7515-B15C-4D59-B484-1E0C1F3BAFB5}">
      <tableStyleElement type="wholeTable" dxfId="35"/>
      <tableStyleElement type="headerRow" dxfId="34"/>
    </tableStyle>
  </tableStyles>
  <colors>
    <mruColors>
      <color rgb="FFF1F1F1"/>
      <color rgb="FFB7B7B7"/>
      <color rgb="FF00C2C7"/>
      <color rgb="FF8FA6B2"/>
      <color rgb="FF4A4A4A"/>
      <color rgb="FF8C6A5D"/>
      <color rgb="FFC1666B"/>
      <color rgb="FFE8A33D"/>
      <color rgb="FF6C757D"/>
      <color rgb="FF8AB1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bgColor rgb="FF00C2C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A4A4A"/>
          </font>
          <fill>
            <patternFill patternType="solid">
              <fgColor rgb="FFF1F1F1"/>
              <bgColor rgb="FFF1F1F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Analysis!$H$6</c:f>
              <c:strCache>
                <c:ptCount val="1"/>
                <c:pt idx="0">
                  <c:v>Average Impressions</c:v>
                </c:pt>
              </c:strCache>
            </c:strRef>
          </c:tx>
          <c:spPr>
            <a:gradFill>
              <a:gsLst>
                <a:gs pos="100000">
                  <a:srgbClr val="C00000">
                    <a:alpha val="80000"/>
                  </a:srgbClr>
                </a:gs>
                <a:gs pos="0">
                  <a:srgbClr val="7030A0">
                    <a:lumMod val="100000"/>
                  </a:srgbClr>
                </a:gs>
              </a:gsLst>
              <a:lin ang="16800000" scaled="0"/>
            </a:gradFill>
            <a:ln>
              <a:noFill/>
            </a:ln>
            <a:effectLst/>
          </c:spPr>
          <c:invertIfNegative val="0"/>
          <c:dLbls>
            <c:dLbl>
              <c:idx val="1"/>
              <c:layout>
                <c:manualLayout>
                  <c:x val="0"/>
                  <c:y val="6.6666666666666671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7B5-40FD-AA16-7B289680EA6E}"/>
                </c:ext>
              </c:extLst>
            </c:dLbl>
            <c:dLbl>
              <c:idx val="4"/>
              <c:layout>
                <c:manualLayout>
                  <c:x val="0"/>
                  <c:y val="-0.14000000000000007"/>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A7B5-40FD-AA16-7B289680EA6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Analysis!$G$7:$G$11</c:f>
              <c:strCache>
                <c:ptCount val="5"/>
                <c:pt idx="0">
                  <c:v>Facebook</c:v>
                </c:pt>
                <c:pt idx="1">
                  <c:v>Instagram</c:v>
                </c:pt>
                <c:pt idx="2">
                  <c:v>LinkedIn</c:v>
                </c:pt>
                <c:pt idx="3">
                  <c:v>TikTok</c:v>
                </c:pt>
                <c:pt idx="4">
                  <c:v>Twitter</c:v>
                </c:pt>
              </c:strCache>
            </c:strRef>
          </c:cat>
          <c:val>
            <c:numRef>
              <c:f>Analysis!$H$7:$H$11</c:f>
              <c:numCache>
                <c:formatCode>0</c:formatCode>
                <c:ptCount val="5"/>
                <c:pt idx="0">
                  <c:v>22377.095238095237</c:v>
                </c:pt>
                <c:pt idx="1">
                  <c:v>46363.720149253728</c:v>
                </c:pt>
                <c:pt idx="2">
                  <c:v>14218.307692307691</c:v>
                </c:pt>
                <c:pt idx="3">
                  <c:v>233930.68595041323</c:v>
                </c:pt>
                <c:pt idx="4">
                  <c:v>18544.791139240508</c:v>
                </c:pt>
              </c:numCache>
            </c:numRef>
          </c:val>
          <c:extLst>
            <c:ext xmlns:c16="http://schemas.microsoft.com/office/drawing/2014/chart" uri="{C3380CC4-5D6E-409C-BE32-E72D297353CC}">
              <c16:uniqueId val="{00000005-423A-452C-961C-A2B9576C413E}"/>
            </c:ext>
          </c:extLst>
        </c:ser>
        <c:dLbls>
          <c:dLblPos val="inEnd"/>
          <c:showLegendKey val="0"/>
          <c:showVal val="1"/>
          <c:showCatName val="0"/>
          <c:showSerName val="0"/>
          <c:showPercent val="0"/>
          <c:showBubbleSize val="0"/>
        </c:dLbls>
        <c:gapWidth val="30"/>
        <c:axId val="2014997904"/>
        <c:axId val="1831333744"/>
      </c:barChart>
      <c:lineChart>
        <c:grouping val="standard"/>
        <c:varyColors val="0"/>
        <c:ser>
          <c:idx val="1"/>
          <c:order val="1"/>
          <c:tx>
            <c:strRef>
              <c:f>Analysis!$I$6</c:f>
              <c:strCache>
                <c:ptCount val="1"/>
                <c:pt idx="0">
                  <c:v>Average Engagement Rate %</c:v>
                </c:pt>
              </c:strCache>
            </c:strRef>
          </c:tx>
          <c:spPr>
            <a:ln w="28575" cap="rnd">
              <a:solidFill>
                <a:srgbClr val="00C2C7"/>
              </a:solidFill>
              <a:prstDash val="solid"/>
              <a:round/>
            </a:ln>
            <a:effectLst/>
          </c:spPr>
          <c:marker>
            <c:symbol val="diamond"/>
            <c:size val="6"/>
            <c:spPr>
              <a:solidFill>
                <a:srgbClr val="00C2C7"/>
              </a:solidFill>
              <a:ln w="12700">
                <a:solidFill>
                  <a:schemeClr val="bg1"/>
                </a:solidFill>
              </a:ln>
              <a:effectLst/>
            </c:spPr>
          </c:marker>
          <c:cat>
            <c:strRef>
              <c:f>Analysis!$G$7:$G$11</c:f>
              <c:strCache>
                <c:ptCount val="5"/>
                <c:pt idx="0">
                  <c:v>Facebook</c:v>
                </c:pt>
                <c:pt idx="1">
                  <c:v>Instagram</c:v>
                </c:pt>
                <c:pt idx="2">
                  <c:v>LinkedIn</c:v>
                </c:pt>
                <c:pt idx="3">
                  <c:v>TikTok</c:v>
                </c:pt>
                <c:pt idx="4">
                  <c:v>Twitter</c:v>
                </c:pt>
              </c:strCache>
            </c:strRef>
          </c:cat>
          <c:val>
            <c:numRef>
              <c:f>Analysis!$I$7:$I$11</c:f>
              <c:numCache>
                <c:formatCode>0.00%</c:formatCode>
                <c:ptCount val="5"/>
                <c:pt idx="0">
                  <c:v>5.7827800020239843E-2</c:v>
                </c:pt>
                <c:pt idx="1">
                  <c:v>6.4589902329068569E-2</c:v>
                </c:pt>
                <c:pt idx="2">
                  <c:v>6.0490147749555481E-2</c:v>
                </c:pt>
                <c:pt idx="3">
                  <c:v>0.12262692706075677</c:v>
                </c:pt>
                <c:pt idx="4">
                  <c:v>3.3142614953582374E-2</c:v>
                </c:pt>
              </c:numCache>
            </c:numRef>
          </c:val>
          <c:smooth val="0"/>
          <c:extLst>
            <c:ext xmlns:c16="http://schemas.microsoft.com/office/drawing/2014/chart" uri="{C3380CC4-5D6E-409C-BE32-E72D297353CC}">
              <c16:uniqueId val="{00000001-4E65-44C3-98F2-7B3CEE89ABF0}"/>
            </c:ext>
          </c:extLst>
        </c:ser>
        <c:dLbls>
          <c:showLegendKey val="0"/>
          <c:showVal val="0"/>
          <c:showCatName val="0"/>
          <c:showSerName val="0"/>
          <c:showPercent val="0"/>
          <c:showBubbleSize val="0"/>
        </c:dLbls>
        <c:marker val="1"/>
        <c:smooth val="0"/>
        <c:axId val="143499071"/>
        <c:axId val="506990447"/>
      </c:lineChart>
      <c:catAx>
        <c:axId val="201499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33744"/>
        <c:crosses val="autoZero"/>
        <c:auto val="1"/>
        <c:lblAlgn val="ctr"/>
        <c:lblOffset val="100"/>
        <c:noMultiLvlLbl val="0"/>
      </c:catAx>
      <c:valAx>
        <c:axId val="1831333744"/>
        <c:scaling>
          <c:orientation val="minMax"/>
        </c:scaling>
        <c:delete val="0"/>
        <c:axPos val="l"/>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97904"/>
        <c:crosses val="autoZero"/>
        <c:crossBetween val="between"/>
      </c:valAx>
      <c:valAx>
        <c:axId val="506990447"/>
        <c:scaling>
          <c:orientation val="minMax"/>
          <c:max val="0.14000000000000001"/>
          <c:min val="2.0000000000000004E-2"/>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9071"/>
        <c:crosses val="max"/>
        <c:crossBetween val="between"/>
      </c:valAx>
      <c:catAx>
        <c:axId val="143499071"/>
        <c:scaling>
          <c:orientation val="minMax"/>
        </c:scaling>
        <c:delete val="1"/>
        <c:axPos val="b"/>
        <c:numFmt formatCode="General" sourceLinked="1"/>
        <c:majorTickMark val="out"/>
        <c:minorTickMark val="none"/>
        <c:tickLblPos val="nextTo"/>
        <c:crossAx val="5069904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Analysis!$H$13</c:f>
              <c:strCache>
                <c:ptCount val="1"/>
                <c:pt idx="0">
                  <c:v>Average Impressions</c:v>
                </c:pt>
              </c:strCache>
            </c:strRef>
          </c:tx>
          <c:spPr>
            <a:gradFill>
              <a:gsLst>
                <a:gs pos="100000">
                  <a:srgbClr val="C00000">
                    <a:alpha val="80000"/>
                  </a:srgbClr>
                </a:gs>
                <a:gs pos="0">
                  <a:srgbClr val="7030A0">
                    <a:lumMod val="100000"/>
                  </a:srgbClr>
                </a:gs>
              </a:gsLst>
              <a:lin ang="16800000" scaled="0"/>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Analysis!$G$14:$G$18</c:f>
              <c:strCache>
                <c:ptCount val="5"/>
                <c:pt idx="0">
                  <c:v>Carousel</c:v>
                </c:pt>
                <c:pt idx="1">
                  <c:v>Image</c:v>
                </c:pt>
                <c:pt idx="2">
                  <c:v>Text</c:v>
                </c:pt>
                <c:pt idx="3">
                  <c:v>Video</c:v>
                </c:pt>
                <c:pt idx="4">
                  <c:v>Reel</c:v>
                </c:pt>
              </c:strCache>
            </c:strRef>
          </c:cat>
          <c:val>
            <c:numRef>
              <c:f>Analysis!$H$14:$H$18</c:f>
              <c:numCache>
                <c:formatCode>0</c:formatCode>
                <c:ptCount val="5"/>
                <c:pt idx="0">
                  <c:v>32312.879518072288</c:v>
                </c:pt>
                <c:pt idx="1">
                  <c:v>15845.928571428571</c:v>
                </c:pt>
                <c:pt idx="2">
                  <c:v>12108.710144927536</c:v>
                </c:pt>
                <c:pt idx="3">
                  <c:v>118839.90784982935</c:v>
                </c:pt>
                <c:pt idx="4">
                  <c:v>160717.07246376813</c:v>
                </c:pt>
              </c:numCache>
            </c:numRef>
          </c:val>
          <c:extLst>
            <c:ext xmlns:c16="http://schemas.microsoft.com/office/drawing/2014/chart" uri="{C3380CC4-5D6E-409C-BE32-E72D297353CC}">
              <c16:uniqueId val="{00000005-D7D6-4216-A4CC-E45EDA5EA1D9}"/>
            </c:ext>
          </c:extLst>
        </c:ser>
        <c:dLbls>
          <c:dLblPos val="outEnd"/>
          <c:showLegendKey val="0"/>
          <c:showVal val="1"/>
          <c:showCatName val="0"/>
          <c:showSerName val="0"/>
          <c:showPercent val="0"/>
          <c:showBubbleSize val="0"/>
        </c:dLbls>
        <c:gapWidth val="30"/>
        <c:axId val="2026879807"/>
        <c:axId val="1842927439"/>
      </c:barChart>
      <c:lineChart>
        <c:grouping val="standard"/>
        <c:varyColors val="0"/>
        <c:ser>
          <c:idx val="1"/>
          <c:order val="1"/>
          <c:tx>
            <c:strRef>
              <c:f>Analysis!$I$13</c:f>
              <c:strCache>
                <c:ptCount val="1"/>
                <c:pt idx="0">
                  <c:v>Average Engagement Rate %</c:v>
                </c:pt>
              </c:strCache>
            </c:strRef>
          </c:tx>
          <c:spPr>
            <a:ln w="28575" cap="rnd">
              <a:solidFill>
                <a:srgbClr val="00C2C7"/>
              </a:solidFill>
              <a:prstDash val="solid"/>
              <a:round/>
            </a:ln>
            <a:effectLst/>
          </c:spPr>
          <c:marker>
            <c:symbol val="diamond"/>
            <c:size val="6"/>
            <c:spPr>
              <a:solidFill>
                <a:srgbClr val="00C2C7"/>
              </a:solidFill>
              <a:ln w="12700">
                <a:solidFill>
                  <a:schemeClr val="bg1"/>
                </a:solidFill>
              </a:ln>
              <a:effectLst/>
            </c:spPr>
          </c:marker>
          <c:cat>
            <c:strRef>
              <c:f>Analysis!$G$14:$G$18</c:f>
              <c:strCache>
                <c:ptCount val="5"/>
                <c:pt idx="0">
                  <c:v>Carousel</c:v>
                </c:pt>
                <c:pt idx="1">
                  <c:v>Image</c:v>
                </c:pt>
                <c:pt idx="2">
                  <c:v>Text</c:v>
                </c:pt>
                <c:pt idx="3">
                  <c:v>Video</c:v>
                </c:pt>
                <c:pt idx="4">
                  <c:v>Reel</c:v>
                </c:pt>
              </c:strCache>
            </c:strRef>
          </c:cat>
          <c:val>
            <c:numRef>
              <c:f>Analysis!$I$14:$I$18</c:f>
              <c:numCache>
                <c:formatCode>0.00%</c:formatCode>
                <c:ptCount val="5"/>
                <c:pt idx="0">
                  <c:v>5.9345280433731315E-2</c:v>
                </c:pt>
                <c:pt idx="1">
                  <c:v>5.2702907551179193E-2</c:v>
                </c:pt>
                <c:pt idx="2">
                  <c:v>5.0534394414200733E-2</c:v>
                </c:pt>
                <c:pt idx="3">
                  <c:v>7.9583702336853926E-2</c:v>
                </c:pt>
                <c:pt idx="4">
                  <c:v>0.10303879720619731</c:v>
                </c:pt>
              </c:numCache>
            </c:numRef>
          </c:val>
          <c:smooth val="0"/>
          <c:extLst>
            <c:ext xmlns:c16="http://schemas.microsoft.com/office/drawing/2014/chart" uri="{C3380CC4-5D6E-409C-BE32-E72D297353CC}">
              <c16:uniqueId val="{00000006-D7D6-4216-A4CC-E45EDA5EA1D9}"/>
            </c:ext>
          </c:extLst>
        </c:ser>
        <c:dLbls>
          <c:showLegendKey val="0"/>
          <c:showVal val="0"/>
          <c:showCatName val="0"/>
          <c:showSerName val="0"/>
          <c:showPercent val="0"/>
          <c:showBubbleSize val="0"/>
        </c:dLbls>
        <c:marker val="1"/>
        <c:smooth val="0"/>
        <c:axId val="143579343"/>
        <c:axId val="136058447"/>
      </c:lineChart>
      <c:catAx>
        <c:axId val="2026879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927439"/>
        <c:crosses val="autoZero"/>
        <c:auto val="1"/>
        <c:lblAlgn val="ctr"/>
        <c:lblOffset val="100"/>
        <c:noMultiLvlLbl val="0"/>
      </c:catAx>
      <c:valAx>
        <c:axId val="1842927439"/>
        <c:scaling>
          <c:orientation val="minMax"/>
        </c:scaling>
        <c:delete val="0"/>
        <c:axPos val="l"/>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879807"/>
        <c:crosses val="autoZero"/>
        <c:crossBetween val="between"/>
      </c:valAx>
      <c:valAx>
        <c:axId val="136058447"/>
        <c:scaling>
          <c:orientation val="minMax"/>
          <c:max val="0.14000000000000001"/>
          <c:min val="2.0000000000000004E-2"/>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9343"/>
        <c:crosses val="max"/>
        <c:crossBetween val="between"/>
      </c:valAx>
      <c:catAx>
        <c:axId val="143579343"/>
        <c:scaling>
          <c:orientation val="minMax"/>
        </c:scaling>
        <c:delete val="1"/>
        <c:axPos val="b"/>
        <c:numFmt formatCode="General" sourceLinked="1"/>
        <c:majorTickMark val="out"/>
        <c:minorTickMark val="none"/>
        <c:tickLblPos val="nextTo"/>
        <c:crossAx val="1360584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Analysis!$H$27</c:f>
              <c:strCache>
                <c:ptCount val="1"/>
                <c:pt idx="0">
                  <c:v>Carousel</c:v>
                </c:pt>
              </c:strCache>
            </c:strRef>
          </c:tx>
          <c:spPr>
            <a:solidFill>
              <a:srgbClr val="6C757D"/>
            </a:solidFill>
            <a:ln>
              <a:noFill/>
            </a:ln>
            <a:effectLst/>
          </c:spPr>
          <c:invertIfNegative val="0"/>
          <c:cat>
            <c:strRef>
              <c:f>Analysis!$G$28:$G$32</c:f>
              <c:strCache>
                <c:ptCount val="5"/>
                <c:pt idx="0">
                  <c:v>Facebook</c:v>
                </c:pt>
                <c:pt idx="1">
                  <c:v>Instagram</c:v>
                </c:pt>
                <c:pt idx="2">
                  <c:v>LinkedIn</c:v>
                </c:pt>
                <c:pt idx="3">
                  <c:v>TikTok</c:v>
                </c:pt>
                <c:pt idx="4">
                  <c:v>Twitter</c:v>
                </c:pt>
              </c:strCache>
            </c:strRef>
          </c:cat>
          <c:val>
            <c:numRef>
              <c:f>Analysis!$H$28:$H$32</c:f>
              <c:numCache>
                <c:formatCode>0.00"%"</c:formatCode>
                <c:ptCount val="5"/>
                <c:pt idx="0">
                  <c:v>3.0994542584938483</c:v>
                </c:pt>
                <c:pt idx="1">
                  <c:v>4.8017448873504591</c:v>
                </c:pt>
                <c:pt idx="2">
                  <c:v>1.9501174061550857</c:v>
                </c:pt>
              </c:numCache>
            </c:numRef>
          </c:val>
          <c:extLst>
            <c:ext xmlns:c16="http://schemas.microsoft.com/office/drawing/2014/chart" uri="{C3380CC4-5D6E-409C-BE32-E72D297353CC}">
              <c16:uniqueId val="{00000000-1933-4B88-8ACB-E825F20FBFDE}"/>
            </c:ext>
          </c:extLst>
        </c:ser>
        <c:ser>
          <c:idx val="1"/>
          <c:order val="1"/>
          <c:tx>
            <c:strRef>
              <c:f>Analysis!$I$27</c:f>
              <c:strCache>
                <c:ptCount val="1"/>
                <c:pt idx="0">
                  <c:v>Image</c:v>
                </c:pt>
              </c:strCache>
            </c:strRef>
          </c:tx>
          <c:spPr>
            <a:solidFill>
              <a:srgbClr val="8AB17D"/>
            </a:solidFill>
            <a:ln>
              <a:noFill/>
            </a:ln>
            <a:effectLst/>
          </c:spPr>
          <c:invertIfNegative val="0"/>
          <c:cat>
            <c:strRef>
              <c:f>Analysis!$G$28:$G$32</c:f>
              <c:strCache>
                <c:ptCount val="5"/>
                <c:pt idx="0">
                  <c:v>Facebook</c:v>
                </c:pt>
                <c:pt idx="1">
                  <c:v>Instagram</c:v>
                </c:pt>
                <c:pt idx="2">
                  <c:v>LinkedIn</c:v>
                </c:pt>
                <c:pt idx="3">
                  <c:v>TikTok</c:v>
                </c:pt>
                <c:pt idx="4">
                  <c:v>Twitter</c:v>
                </c:pt>
              </c:strCache>
            </c:strRef>
          </c:cat>
          <c:val>
            <c:numRef>
              <c:f>Analysis!$I$28:$I$32</c:f>
              <c:numCache>
                <c:formatCode>0.00"%"</c:formatCode>
                <c:ptCount val="5"/>
                <c:pt idx="0">
                  <c:v>2.4317887540413734</c:v>
                </c:pt>
                <c:pt idx="1">
                  <c:v>3.744441140702774</c:v>
                </c:pt>
                <c:pt idx="2">
                  <c:v>2.1610831900198662</c:v>
                </c:pt>
                <c:pt idx="4">
                  <c:v>1.9924567952671128</c:v>
                </c:pt>
              </c:numCache>
            </c:numRef>
          </c:val>
          <c:extLst>
            <c:ext xmlns:c16="http://schemas.microsoft.com/office/drawing/2014/chart" uri="{C3380CC4-5D6E-409C-BE32-E72D297353CC}">
              <c16:uniqueId val="{00000001-1933-4B88-8ACB-E825F20FBFDE}"/>
            </c:ext>
          </c:extLst>
        </c:ser>
        <c:ser>
          <c:idx val="2"/>
          <c:order val="2"/>
          <c:tx>
            <c:strRef>
              <c:f>Analysis!$J$27</c:f>
              <c:strCache>
                <c:ptCount val="1"/>
                <c:pt idx="0">
                  <c:v>Text</c:v>
                </c:pt>
              </c:strCache>
            </c:strRef>
          </c:tx>
          <c:spPr>
            <a:solidFill>
              <a:srgbClr val="B7B7B7"/>
            </a:solidFill>
            <a:ln>
              <a:noFill/>
            </a:ln>
            <a:effectLst/>
          </c:spPr>
          <c:invertIfNegative val="0"/>
          <c:cat>
            <c:strRef>
              <c:f>Analysis!$G$28:$G$32</c:f>
              <c:strCache>
                <c:ptCount val="5"/>
                <c:pt idx="0">
                  <c:v>Facebook</c:v>
                </c:pt>
                <c:pt idx="1">
                  <c:v>Instagram</c:v>
                </c:pt>
                <c:pt idx="2">
                  <c:v>LinkedIn</c:v>
                </c:pt>
                <c:pt idx="3">
                  <c:v>TikTok</c:v>
                </c:pt>
                <c:pt idx="4">
                  <c:v>Twitter</c:v>
                </c:pt>
              </c:strCache>
            </c:strRef>
          </c:cat>
          <c:val>
            <c:numRef>
              <c:f>Analysis!$J$28:$J$32</c:f>
              <c:numCache>
                <c:formatCode>0.00"%"</c:formatCode>
                <c:ptCount val="5"/>
                <c:pt idx="0">
                  <c:v>2.8565081541455566</c:v>
                </c:pt>
                <c:pt idx="2">
                  <c:v>2.4970836638816509</c:v>
                </c:pt>
                <c:pt idx="4">
                  <c:v>1.6201546111324872</c:v>
                </c:pt>
              </c:numCache>
            </c:numRef>
          </c:val>
          <c:extLst>
            <c:ext xmlns:c16="http://schemas.microsoft.com/office/drawing/2014/chart" uri="{C3380CC4-5D6E-409C-BE32-E72D297353CC}">
              <c16:uniqueId val="{00000002-1933-4B88-8ACB-E825F20FBFDE}"/>
            </c:ext>
          </c:extLst>
        </c:ser>
        <c:ser>
          <c:idx val="3"/>
          <c:order val="3"/>
          <c:tx>
            <c:strRef>
              <c:f>Analysis!$K$27</c:f>
              <c:strCache>
                <c:ptCount val="1"/>
                <c:pt idx="0">
                  <c:v>Video</c:v>
                </c:pt>
              </c:strCache>
            </c:strRef>
          </c:tx>
          <c:spPr>
            <a:solidFill>
              <a:srgbClr val="2E86AB"/>
            </a:solidFill>
            <a:ln>
              <a:noFill/>
            </a:ln>
            <a:effectLst/>
          </c:spPr>
          <c:invertIfNegative val="0"/>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81-4920-BAB5-3AF6DBFF10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Analysis!$G$28:$G$32</c:f>
              <c:strCache>
                <c:ptCount val="5"/>
                <c:pt idx="0">
                  <c:v>Facebook</c:v>
                </c:pt>
                <c:pt idx="1">
                  <c:v>Instagram</c:v>
                </c:pt>
                <c:pt idx="2">
                  <c:v>LinkedIn</c:v>
                </c:pt>
                <c:pt idx="3">
                  <c:v>TikTok</c:v>
                </c:pt>
                <c:pt idx="4">
                  <c:v>Twitter</c:v>
                </c:pt>
              </c:strCache>
            </c:strRef>
          </c:cat>
          <c:val>
            <c:numRef>
              <c:f>Analysis!$K$28:$K$32</c:f>
              <c:numCache>
                <c:formatCode>0.00"%"</c:formatCode>
                <c:ptCount val="5"/>
                <c:pt idx="0">
                  <c:v>2.5417030371445408</c:v>
                </c:pt>
                <c:pt idx="1">
                  <c:v>4.3128879337555217</c:v>
                </c:pt>
                <c:pt idx="2">
                  <c:v>2.0418068681298327</c:v>
                </c:pt>
                <c:pt idx="3">
                  <c:v>12.797705189401906</c:v>
                </c:pt>
                <c:pt idx="4">
                  <c:v>1.6239217562664128</c:v>
                </c:pt>
              </c:numCache>
            </c:numRef>
          </c:val>
          <c:extLst>
            <c:ext xmlns:c16="http://schemas.microsoft.com/office/drawing/2014/chart" uri="{C3380CC4-5D6E-409C-BE32-E72D297353CC}">
              <c16:uniqueId val="{00000003-1933-4B88-8ACB-E825F20FBFDE}"/>
            </c:ext>
          </c:extLst>
        </c:ser>
        <c:ser>
          <c:idx val="4"/>
          <c:order val="4"/>
          <c:tx>
            <c:strRef>
              <c:f>Analysis!$L$27</c:f>
              <c:strCache>
                <c:ptCount val="1"/>
                <c:pt idx="0">
                  <c:v>Reel</c:v>
                </c:pt>
              </c:strCache>
            </c:strRef>
          </c:tx>
          <c:spPr>
            <a:solidFill>
              <a:srgbClr val="F18F01"/>
            </a:solidFill>
            <a:ln>
              <a:noFill/>
            </a:ln>
            <a:effectLst/>
          </c:spPr>
          <c:invertIfNegative val="0"/>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81-4920-BAB5-3AF6DBFF10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Analysis!$G$28:$G$32</c:f>
              <c:strCache>
                <c:ptCount val="5"/>
                <c:pt idx="0">
                  <c:v>Facebook</c:v>
                </c:pt>
                <c:pt idx="1">
                  <c:v>Instagram</c:v>
                </c:pt>
                <c:pt idx="2">
                  <c:v>LinkedIn</c:v>
                </c:pt>
                <c:pt idx="3">
                  <c:v>TikTok</c:v>
                </c:pt>
                <c:pt idx="4">
                  <c:v>Twitter</c:v>
                </c:pt>
              </c:strCache>
            </c:strRef>
          </c:cat>
          <c:val>
            <c:numRef>
              <c:f>Analysis!$L$28:$L$32</c:f>
              <c:numCache>
                <c:formatCode>0.00"%"</c:formatCode>
                <c:ptCount val="5"/>
                <c:pt idx="1">
                  <c:v>4.4510198623816155</c:v>
                </c:pt>
                <c:pt idx="3">
                  <c:v>16.878011159301238</c:v>
                </c:pt>
              </c:numCache>
            </c:numRef>
          </c:val>
          <c:extLst>
            <c:ext xmlns:c16="http://schemas.microsoft.com/office/drawing/2014/chart" uri="{C3380CC4-5D6E-409C-BE32-E72D297353CC}">
              <c16:uniqueId val="{00000004-1933-4B88-8ACB-E825F20FBFDE}"/>
            </c:ext>
          </c:extLst>
        </c:ser>
        <c:dLbls>
          <c:showLegendKey val="0"/>
          <c:showVal val="0"/>
          <c:showCatName val="0"/>
          <c:showSerName val="0"/>
          <c:showPercent val="0"/>
          <c:showBubbleSize val="0"/>
        </c:dLbls>
        <c:gapWidth val="100"/>
        <c:axId val="118389903"/>
        <c:axId val="314248879"/>
      </c:barChart>
      <c:catAx>
        <c:axId val="11838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248879"/>
        <c:crosses val="autoZero"/>
        <c:auto val="1"/>
        <c:lblAlgn val="ctr"/>
        <c:lblOffset val="100"/>
        <c:noMultiLvlLbl val="0"/>
      </c:catAx>
      <c:valAx>
        <c:axId val="314248879"/>
        <c:scaling>
          <c:orientation val="minMax"/>
        </c:scaling>
        <c:delete val="1"/>
        <c:axPos val="l"/>
        <c:majorGridlines>
          <c:spPr>
            <a:ln w="9525" cap="flat" cmpd="sng" algn="ctr">
              <a:solidFill>
                <a:schemeClr val="tx1">
                  <a:lumMod val="15000"/>
                  <a:lumOff val="85000"/>
                </a:schemeClr>
              </a:solidFill>
              <a:round/>
            </a:ln>
            <a:effectLst/>
          </c:spPr>
        </c:majorGridlines>
        <c:numFmt formatCode="0.00&quot;%&quot;" sourceLinked="1"/>
        <c:majorTickMark val="none"/>
        <c:minorTickMark val="none"/>
        <c:tickLblPos val="nextTo"/>
        <c:crossAx val="118389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Analysis!$H$20</c:f>
              <c:strCache>
                <c:ptCount val="1"/>
                <c:pt idx="0">
                  <c:v>Likes</c:v>
                </c:pt>
              </c:strCache>
            </c:strRef>
          </c:tx>
          <c:spPr>
            <a:solidFill>
              <a:srgbClr val="E8A33D"/>
            </a:solidFill>
            <a:ln>
              <a:noFill/>
            </a:ln>
            <a:effectLst/>
          </c:spPr>
          <c:invertIfNegative val="0"/>
          <c:dLbls>
            <c:numFmt formatCode="0.00%" sourceLinked="0"/>
            <c:spPr>
              <a:solidFill>
                <a:srgbClr val="F1F1F1">
                  <a:alpha val="7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Analysis!$G$21:$G$25</c:f>
              <c:strCache>
                <c:ptCount val="5"/>
                <c:pt idx="0">
                  <c:v>Facebook</c:v>
                </c:pt>
                <c:pt idx="1">
                  <c:v>Instagram</c:v>
                </c:pt>
                <c:pt idx="2">
                  <c:v>LinkedIn</c:v>
                </c:pt>
                <c:pt idx="3">
                  <c:v>TikTok</c:v>
                </c:pt>
                <c:pt idx="4">
                  <c:v>Twitter</c:v>
                </c:pt>
              </c:strCache>
            </c:strRef>
          </c:cat>
          <c:val>
            <c:numRef>
              <c:f>Analysis!$H$21:$H$25</c:f>
              <c:numCache>
                <c:formatCode>General</c:formatCode>
                <c:ptCount val="5"/>
                <c:pt idx="0">
                  <c:v>0.4947612315425699</c:v>
                </c:pt>
                <c:pt idx="1">
                  <c:v>0.7802420750730652</c:v>
                </c:pt>
                <c:pt idx="2">
                  <c:v>0.60553803833028408</c:v>
                </c:pt>
                <c:pt idx="3">
                  <c:v>0.61229152826720823</c:v>
                </c:pt>
                <c:pt idx="4">
                  <c:v>0.52277974021639362</c:v>
                </c:pt>
              </c:numCache>
            </c:numRef>
          </c:val>
          <c:extLst>
            <c:ext xmlns:c16="http://schemas.microsoft.com/office/drawing/2014/chart" uri="{C3380CC4-5D6E-409C-BE32-E72D297353CC}">
              <c16:uniqueId val="{00000000-A212-40E2-BC46-3BCC11AFC94A}"/>
            </c:ext>
          </c:extLst>
        </c:ser>
        <c:ser>
          <c:idx val="1"/>
          <c:order val="1"/>
          <c:tx>
            <c:strRef>
              <c:f>Analysis!$I$20</c:f>
              <c:strCache>
                <c:ptCount val="1"/>
                <c:pt idx="0">
                  <c:v>Comments</c:v>
                </c:pt>
              </c:strCache>
            </c:strRef>
          </c:tx>
          <c:spPr>
            <a:solidFill>
              <a:srgbClr val="8C6A5D"/>
            </a:solidFill>
            <a:ln>
              <a:noFill/>
            </a:ln>
            <a:effectLst/>
          </c:spPr>
          <c:invertIfNegative val="0"/>
          <c:cat>
            <c:strRef>
              <c:f>Analysis!$G$21:$G$25</c:f>
              <c:strCache>
                <c:ptCount val="5"/>
                <c:pt idx="0">
                  <c:v>Facebook</c:v>
                </c:pt>
                <c:pt idx="1">
                  <c:v>Instagram</c:v>
                </c:pt>
                <c:pt idx="2">
                  <c:v>LinkedIn</c:v>
                </c:pt>
                <c:pt idx="3">
                  <c:v>TikTok</c:v>
                </c:pt>
                <c:pt idx="4">
                  <c:v>Twitter</c:v>
                </c:pt>
              </c:strCache>
            </c:strRef>
          </c:cat>
          <c:val>
            <c:numRef>
              <c:f>Analysis!$I$21:$I$25</c:f>
              <c:numCache>
                <c:formatCode>General</c:formatCode>
                <c:ptCount val="5"/>
                <c:pt idx="0">
                  <c:v>0.19928526547282438</c:v>
                </c:pt>
                <c:pt idx="1">
                  <c:v>0.13682759546733414</c:v>
                </c:pt>
                <c:pt idx="2">
                  <c:v>0.24747297805805338</c:v>
                </c:pt>
                <c:pt idx="3">
                  <c:v>0.14312076556812744</c:v>
                </c:pt>
                <c:pt idx="4">
                  <c:v>0.13133813589964677</c:v>
                </c:pt>
              </c:numCache>
            </c:numRef>
          </c:val>
          <c:extLst>
            <c:ext xmlns:c16="http://schemas.microsoft.com/office/drawing/2014/chart" uri="{C3380CC4-5D6E-409C-BE32-E72D297353CC}">
              <c16:uniqueId val="{00000001-A212-40E2-BC46-3BCC11AFC94A}"/>
            </c:ext>
          </c:extLst>
        </c:ser>
        <c:ser>
          <c:idx val="2"/>
          <c:order val="2"/>
          <c:tx>
            <c:strRef>
              <c:f>Analysis!$J$20</c:f>
              <c:strCache>
                <c:ptCount val="1"/>
                <c:pt idx="0">
                  <c:v>Shares</c:v>
                </c:pt>
              </c:strCache>
            </c:strRef>
          </c:tx>
          <c:spPr>
            <a:solidFill>
              <a:srgbClr val="C1666B"/>
            </a:solidFill>
            <a:ln>
              <a:noFill/>
            </a:ln>
            <a:effectLst/>
          </c:spPr>
          <c:invertIfNegative val="0"/>
          <c:cat>
            <c:strRef>
              <c:f>Analysis!$G$21:$G$25</c:f>
              <c:strCache>
                <c:ptCount val="5"/>
                <c:pt idx="0">
                  <c:v>Facebook</c:v>
                </c:pt>
                <c:pt idx="1">
                  <c:v>Instagram</c:v>
                </c:pt>
                <c:pt idx="2">
                  <c:v>LinkedIn</c:v>
                </c:pt>
                <c:pt idx="3">
                  <c:v>TikTok</c:v>
                </c:pt>
                <c:pt idx="4">
                  <c:v>Twitter</c:v>
                </c:pt>
              </c:strCache>
            </c:strRef>
          </c:cat>
          <c:val>
            <c:numRef>
              <c:f>Analysis!$J$21:$J$25</c:f>
              <c:numCache>
                <c:formatCode>General</c:formatCode>
                <c:ptCount val="5"/>
                <c:pt idx="0">
                  <c:v>0.30595350298460572</c:v>
                </c:pt>
                <c:pt idx="1">
                  <c:v>8.293032945960066E-2</c:v>
                </c:pt>
                <c:pt idx="2">
                  <c:v>0.14698898361166257</c:v>
                </c:pt>
                <c:pt idx="3">
                  <c:v>0.24458770616466435</c:v>
                </c:pt>
                <c:pt idx="4">
                  <c:v>0.34588212388395961</c:v>
                </c:pt>
              </c:numCache>
            </c:numRef>
          </c:val>
          <c:extLst>
            <c:ext xmlns:c16="http://schemas.microsoft.com/office/drawing/2014/chart" uri="{C3380CC4-5D6E-409C-BE32-E72D297353CC}">
              <c16:uniqueId val="{00000002-A212-40E2-BC46-3BCC11AFC94A}"/>
            </c:ext>
          </c:extLst>
        </c:ser>
        <c:dLbls>
          <c:showLegendKey val="0"/>
          <c:showVal val="0"/>
          <c:showCatName val="0"/>
          <c:showSerName val="0"/>
          <c:showPercent val="0"/>
          <c:showBubbleSize val="0"/>
        </c:dLbls>
        <c:gapWidth val="150"/>
        <c:overlap val="100"/>
        <c:axId val="556028592"/>
        <c:axId val="556017488"/>
      </c:barChart>
      <c:catAx>
        <c:axId val="55602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17488"/>
        <c:crosses val="autoZero"/>
        <c:auto val="1"/>
        <c:lblAlgn val="ctr"/>
        <c:lblOffset val="100"/>
        <c:noMultiLvlLbl val="0"/>
      </c:catAx>
      <c:valAx>
        <c:axId val="556017488"/>
        <c:scaling>
          <c:orientation val="minMax"/>
        </c:scaling>
        <c:delete val="1"/>
        <c:axPos val="l"/>
        <c:numFmt formatCode="0%" sourceLinked="1"/>
        <c:majorTickMark val="none"/>
        <c:minorTickMark val="none"/>
        <c:tickLblPos val="nextTo"/>
        <c:crossAx val="55602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Analysis!$I$34</c:f>
              <c:strCache>
                <c:ptCount val="1"/>
                <c:pt idx="0">
                  <c:v>Avg Engagement %</c:v>
                </c:pt>
              </c:strCache>
            </c:strRef>
          </c:tx>
          <c:spPr>
            <a:gradFill>
              <a:gsLst>
                <a:gs pos="100000">
                  <a:srgbClr val="C00000">
                    <a:alpha val="80000"/>
                  </a:srgbClr>
                </a:gs>
                <a:gs pos="0">
                  <a:srgbClr val="7030A0">
                    <a:lumMod val="100000"/>
                  </a:srgbClr>
                </a:gs>
              </a:gsLst>
              <a:lin ang="16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Analysis!$H$35:$H$46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Analysis!$I$35:$I$46</c:f>
              <c:numCache>
                <c:formatCode>0.00%</c:formatCode>
                <c:ptCount val="12"/>
                <c:pt idx="0">
                  <c:v>6.9684147338469116E-2</c:v>
                </c:pt>
                <c:pt idx="1">
                  <c:v>7.6388409234929067E-2</c:v>
                </c:pt>
                <c:pt idx="2">
                  <c:v>7.3194989531451427E-2</c:v>
                </c:pt>
                <c:pt idx="3">
                  <c:v>7.3395525708814455E-2</c:v>
                </c:pt>
                <c:pt idx="4">
                  <c:v>7.0992820853178207E-2</c:v>
                </c:pt>
                <c:pt idx="5">
                  <c:v>7.8825419451247783E-2</c:v>
                </c:pt>
                <c:pt idx="6">
                  <c:v>7.4794047809084038E-2</c:v>
                </c:pt>
                <c:pt idx="7">
                  <c:v>7.5222111585613621E-2</c:v>
                </c:pt>
                <c:pt idx="8">
                  <c:v>6.9807067365660072E-2</c:v>
                </c:pt>
                <c:pt idx="9">
                  <c:v>6.752967908380636E-2</c:v>
                </c:pt>
                <c:pt idx="10">
                  <c:v>6.8705422434371013E-2</c:v>
                </c:pt>
                <c:pt idx="11">
                  <c:v>6.5486829409938371E-2</c:v>
                </c:pt>
              </c:numCache>
            </c:numRef>
          </c:val>
          <c:extLst>
            <c:ext xmlns:c16="http://schemas.microsoft.com/office/drawing/2014/chart" uri="{C3380CC4-5D6E-409C-BE32-E72D297353CC}">
              <c16:uniqueId val="{00000000-C27D-45CF-BD14-4C4AA553B39D}"/>
            </c:ext>
          </c:extLst>
        </c:ser>
        <c:dLbls>
          <c:showLegendKey val="0"/>
          <c:showVal val="0"/>
          <c:showCatName val="0"/>
          <c:showSerName val="0"/>
          <c:showPercent val="0"/>
          <c:showBubbleSize val="0"/>
        </c:dLbls>
        <c:gapWidth val="50"/>
        <c:overlap val="-27"/>
        <c:axId val="508299808"/>
        <c:axId val="168791056"/>
      </c:barChart>
      <c:catAx>
        <c:axId val="50829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1056"/>
        <c:crosses val="autoZero"/>
        <c:auto val="1"/>
        <c:lblAlgn val="ctr"/>
        <c:lblOffset val="100"/>
        <c:noMultiLvlLbl val="0"/>
      </c:catAx>
      <c:valAx>
        <c:axId val="168791056"/>
        <c:scaling>
          <c:orientation val="minMax"/>
        </c:scaling>
        <c:delete val="1"/>
        <c:axPos val="l"/>
        <c:numFmt formatCode="0.00%" sourceLinked="1"/>
        <c:majorTickMark val="none"/>
        <c:minorTickMark val="none"/>
        <c:tickLblPos val="nextTo"/>
        <c:crossAx val="508299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Social Media Analytics.xlsx]Analysis!YoY</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FA6B2"/>
            </a:solidFill>
            <a:round/>
          </a:ln>
          <a:effectLst/>
        </c:spPr>
        <c:marker>
          <c:symbol val="circle"/>
          <c:size val="6"/>
          <c:spPr>
            <a:solidFill>
              <a:srgbClr val="00C2C7"/>
            </a:solidFill>
            <a:ln w="28575">
              <a:solidFill>
                <a:srgbClr val="F1F1F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C2C7"/>
            </a:solidFill>
            <a:round/>
          </a:ln>
          <a:effectLst/>
        </c:spPr>
        <c:marker>
          <c:symbol val="circle"/>
          <c:size val="6"/>
          <c:spPr>
            <a:solidFill>
              <a:srgbClr val="00C2C7"/>
            </a:solidFill>
            <a:ln w="285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Analysis!$B$71:$B$72</c:f>
              <c:strCache>
                <c:ptCount val="1"/>
                <c:pt idx="0">
                  <c:v>2024</c:v>
                </c:pt>
              </c:strCache>
            </c:strRef>
          </c:tx>
          <c:spPr>
            <a:ln w="28575" cap="rnd">
              <a:solidFill>
                <a:srgbClr val="8FA6B2"/>
              </a:solidFill>
              <a:round/>
            </a:ln>
            <a:effectLst/>
          </c:spPr>
          <c:marker>
            <c:symbol val="circle"/>
            <c:size val="6"/>
            <c:spPr>
              <a:solidFill>
                <a:srgbClr val="00C2C7"/>
              </a:solidFill>
              <a:ln w="28575">
                <a:solidFill>
                  <a:srgbClr val="F1F1F1"/>
                </a:solidFill>
              </a:ln>
              <a:effectLst/>
            </c:spPr>
          </c:marker>
          <c:cat>
            <c:strRef>
              <c:f>Analysis!$A$73:$A$85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Analysis!$B$73:$B$85</c:f>
              <c:numCache>
                <c:formatCode>0.00%</c:formatCode>
                <c:ptCount val="12"/>
                <c:pt idx="0">
                  <c:v>6.3789385373388019E-2</c:v>
                </c:pt>
                <c:pt idx="1">
                  <c:v>8.6460916272044219E-2</c:v>
                </c:pt>
                <c:pt idx="2">
                  <c:v>7.0982995443035449E-2</c:v>
                </c:pt>
                <c:pt idx="3">
                  <c:v>6.7345418612169999E-2</c:v>
                </c:pt>
                <c:pt idx="4">
                  <c:v>6.8543395728494771E-2</c:v>
                </c:pt>
                <c:pt idx="5">
                  <c:v>7.393904730021815E-2</c:v>
                </c:pt>
                <c:pt idx="6">
                  <c:v>7.895516550065379E-2</c:v>
                </c:pt>
                <c:pt idx="7">
                  <c:v>7.3858914238337764E-2</c:v>
                </c:pt>
                <c:pt idx="8">
                  <c:v>7.1878406174236784E-2</c:v>
                </c:pt>
                <c:pt idx="9">
                  <c:v>6.6139797322388963E-2</c:v>
                </c:pt>
                <c:pt idx="10">
                  <c:v>6.7611722508268704E-2</c:v>
                </c:pt>
                <c:pt idx="11">
                  <c:v>6.7925104486181317E-2</c:v>
                </c:pt>
              </c:numCache>
            </c:numRef>
          </c:val>
          <c:smooth val="0"/>
          <c:extLst>
            <c:ext xmlns:c16="http://schemas.microsoft.com/office/drawing/2014/chart" uri="{C3380CC4-5D6E-409C-BE32-E72D297353CC}">
              <c16:uniqueId val="{00000002-33DF-4C36-A456-AA1BB4E6A3D7}"/>
            </c:ext>
          </c:extLst>
        </c:ser>
        <c:ser>
          <c:idx val="1"/>
          <c:order val="1"/>
          <c:tx>
            <c:strRef>
              <c:f>Analysis!$C$71:$C$72</c:f>
              <c:strCache>
                <c:ptCount val="1"/>
                <c:pt idx="0">
                  <c:v>2025</c:v>
                </c:pt>
              </c:strCache>
            </c:strRef>
          </c:tx>
          <c:spPr>
            <a:ln w="28575" cap="rnd">
              <a:solidFill>
                <a:srgbClr val="00C2C7"/>
              </a:solidFill>
              <a:round/>
            </a:ln>
            <a:effectLst/>
          </c:spPr>
          <c:marker>
            <c:symbol val="circle"/>
            <c:size val="6"/>
            <c:spPr>
              <a:solidFill>
                <a:srgbClr val="00C2C7"/>
              </a:solidFill>
              <a:ln w="28575">
                <a:solidFill>
                  <a:schemeClr val="bg1"/>
                </a:solidFill>
              </a:ln>
              <a:effectLst/>
            </c:spPr>
          </c:marker>
          <c:cat>
            <c:strRef>
              <c:f>Analysis!$A$73:$A$85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Analysis!$C$73:$C$85</c:f>
              <c:numCache>
                <c:formatCode>0.00%</c:formatCode>
                <c:ptCount val="12"/>
                <c:pt idx="0">
                  <c:v>7.6154008031850851E-2</c:v>
                </c:pt>
                <c:pt idx="1">
                  <c:v>6.9433582947397113E-2</c:v>
                </c:pt>
                <c:pt idx="2">
                  <c:v>7.5456139044054404E-2</c:v>
                </c:pt>
                <c:pt idx="3">
                  <c:v>7.8359716147086853E-2</c:v>
                </c:pt>
                <c:pt idx="4">
                  <c:v>7.3157429102898464E-2</c:v>
                </c:pt>
                <c:pt idx="5">
                  <c:v>8.3592611793715729E-2</c:v>
                </c:pt>
                <c:pt idx="6">
                  <c:v>7.1425523963527651E-2</c:v>
                </c:pt>
                <c:pt idx="7">
                  <c:v>7.7807485864929971E-2</c:v>
                </c:pt>
                <c:pt idx="8">
                  <c:v>6.7367490546669712E-2</c:v>
                </c:pt>
                <c:pt idx="9">
                  <c:v>6.8919560845223729E-2</c:v>
                </c:pt>
                <c:pt idx="10">
                  <c:v>6.9621078186456672E-2</c:v>
                </c:pt>
                <c:pt idx="11">
                  <c:v>6.2937723648411714E-2</c:v>
                </c:pt>
              </c:numCache>
            </c:numRef>
          </c:val>
          <c:smooth val="0"/>
          <c:extLst>
            <c:ext xmlns:c16="http://schemas.microsoft.com/office/drawing/2014/chart" uri="{C3380CC4-5D6E-409C-BE32-E72D297353CC}">
              <c16:uniqueId val="{00000003-3CFB-4DA6-A4E0-FF8428735810}"/>
            </c:ext>
          </c:extLst>
        </c:ser>
        <c:dLbls>
          <c:showLegendKey val="0"/>
          <c:showVal val="0"/>
          <c:showCatName val="0"/>
          <c:showSerName val="0"/>
          <c:showPercent val="0"/>
          <c:showBubbleSize val="0"/>
        </c:dLbls>
        <c:marker val="1"/>
        <c:smooth val="0"/>
        <c:axId val="783203968"/>
        <c:axId val="1095125839"/>
      </c:lineChart>
      <c:catAx>
        <c:axId val="78320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125839"/>
        <c:crosses val="autoZero"/>
        <c:auto val="1"/>
        <c:lblAlgn val="ctr"/>
        <c:lblOffset val="100"/>
        <c:noMultiLvlLbl val="0"/>
      </c:catAx>
      <c:valAx>
        <c:axId val="10951258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83203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Social Media Analytics.xlsx]Analysis!TOP10</c:name>
    <c:fmtId val="1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AC7420D-AF22-4ED9-BB52-3DCB5365C3C0}" type="CELLRANGE">
                  <a:rPr lang="en-US"/>
                  <a:pPr>
                    <a:defRPr b="1"/>
                  </a:pPr>
                  <a:t>[CELLRANGE]</a:t>
                </a:fld>
                <a:r>
                  <a:rPr lang="en-US" baseline="0"/>
                  <a:t>, </a:t>
                </a:r>
                <a:fld id="{3E2FD5B5-E347-4D05-9D2E-31E2DE244008}"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3464217-AD28-47EB-8347-39D60CBEE8B6}" type="CELLRANGE">
                  <a:rPr lang="en-US"/>
                  <a:pPr>
                    <a:defRPr b="1"/>
                  </a:pPr>
                  <a:t>[CELLRANGE]</a:t>
                </a:fld>
                <a:r>
                  <a:rPr lang="en-US" baseline="0"/>
                  <a:t>, </a:t>
                </a:r>
                <a:fld id="{F3178120-65B8-4342-BB1C-10A727073688}"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654F4EC-47B6-47B9-B29B-A2C2A6EB2E39}" type="CELLRANGE">
                  <a:rPr lang="en-US"/>
                  <a:pPr>
                    <a:defRPr b="1"/>
                  </a:pPr>
                  <a:t>[CELLRANGE]</a:t>
                </a:fld>
                <a:r>
                  <a:rPr lang="en-US" baseline="0"/>
                  <a:t>, </a:t>
                </a:r>
                <a:fld id="{06365536-0E8D-421F-9490-0A01B2DDBB78}"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CC986EC-7E33-454A-AA4D-593C65ADDFAE}" type="CELLRANGE">
                  <a:rPr lang="en-US"/>
                  <a:pPr>
                    <a:defRPr b="1"/>
                  </a:pPr>
                  <a:t>[CELLRANGE]</a:t>
                </a:fld>
                <a:r>
                  <a:rPr lang="en-US" baseline="0"/>
                  <a:t>, </a:t>
                </a:r>
                <a:fld id="{B4E341B2-7BC3-4170-BB4D-3FAC9F1E1DBA}"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BF99442-791B-4B3F-B444-8068E4FECA0F}" type="CELLRANGE">
                  <a:rPr lang="en-US"/>
                  <a:pPr>
                    <a:defRPr b="1"/>
                  </a:pPr>
                  <a:t>[CELLRANGE]</a:t>
                </a:fld>
                <a:r>
                  <a:rPr lang="en-US" baseline="0"/>
                  <a:t>, </a:t>
                </a:r>
                <a:fld id="{92DBCD0D-8798-4330-BEBD-8925D4A84C2F}"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8C2FB8B-1796-4F83-BDF5-A22308C4A8F2}" type="CELLRANGE">
                  <a:rPr lang="en-US"/>
                  <a:pPr>
                    <a:defRPr b="1"/>
                  </a:pPr>
                  <a:t>[CELLRANGE]</a:t>
                </a:fld>
                <a:r>
                  <a:rPr lang="en-US" baseline="0"/>
                  <a:t>, </a:t>
                </a:r>
                <a:fld id="{AF5A772F-3002-4794-B369-C20A4C90C873}"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870088D-740F-44F4-989C-A55F1EB225D4}" type="CELLRANGE">
                  <a:rPr lang="en-US"/>
                  <a:pPr>
                    <a:defRPr b="1"/>
                  </a:pPr>
                  <a:t>[CELLRANGE]</a:t>
                </a:fld>
                <a:r>
                  <a:rPr lang="en-US" baseline="0"/>
                  <a:t>, </a:t>
                </a:r>
                <a:fld id="{892798C6-307E-48F6-9C49-EC0101439E24}"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5896B6-AB06-4322-80F0-956872E928E8}" type="CELLRANGE">
                  <a:rPr lang="en-US"/>
                  <a:pPr>
                    <a:defRPr b="1"/>
                  </a:pPr>
                  <a:t>[CELLRANGE]</a:t>
                </a:fld>
                <a:r>
                  <a:rPr lang="en-US" baseline="0"/>
                  <a:t>, </a:t>
                </a:r>
                <a:fld id="{01532EDB-9077-4FCD-8B57-1963E1C4300E}"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14B780-AE0B-4C26-B8AA-E7DC74A84BA0}" type="CELLRANGE">
                  <a:rPr lang="en-US"/>
                  <a:pPr>
                    <a:defRPr b="1"/>
                  </a:pPr>
                  <a:t>[CELLRANGE]</a:t>
                </a:fld>
                <a:r>
                  <a:rPr lang="en-US" baseline="0"/>
                  <a:t>, </a:t>
                </a:r>
                <a:fld id="{0FC67244-D8E3-47EF-9C98-2CCF0CD6EAB8}"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dLbl>
          <c:idx val="0"/>
          <c:tx>
            <c:rich>
              <a:bodyPr/>
              <a:lstStyle/>
              <a:p>
                <a:fld id="{4B169E82-285F-4DB0-A82C-56C90228A398}" type="CELLRANGE">
                  <a:rPr lang="en-US"/>
                  <a:pPr/>
                  <a:t>[CELLRANGE]</a:t>
                </a:fld>
                <a:r>
                  <a:rPr lang="en-US" baseline="0"/>
                  <a:t>, </a:t>
                </a:r>
                <a:fld id="{EF497BEC-1DFB-466A-97F1-BF9737C159B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F211F9C-554E-47D5-90FB-D90670A5D130}" type="CELLRANGE">
                  <a:rPr lang="en-US"/>
                  <a:pPr>
                    <a:defRPr b="1"/>
                  </a:pPr>
                  <a:t>[CELLRANGE]</a:t>
                </a:fld>
                <a:r>
                  <a:rPr lang="en-US" baseline="0"/>
                  <a:t>, </a:t>
                </a:r>
                <a:fld id="{E8F12492-1377-4140-833F-9D14C98DF843}"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Analysis!$B$89:$B$98</c:f>
              <c:strCache>
                <c:ptCount val="1"/>
                <c:pt idx="0">
                  <c:v>Facebook</c:v>
                </c:pt>
              </c:strCache>
            </c:strRef>
          </c:tx>
          <c:spPr>
            <a:solidFill>
              <a:schemeClr val="accent1"/>
            </a:solidFill>
            <a:ln>
              <a:noFill/>
            </a:ln>
            <a:effectLst/>
          </c:spPr>
          <c:invertIfNegative val="0"/>
          <c:cat>
            <c:multiLvlStrRef>
              <c:f>Analysis!$B$89:$B$98</c:f>
              <c:multiLvlStrCache>
                <c:ptCount val="10"/>
                <c:lvl>
                  <c:pt idx="0">
                    <c:v>Reel</c:v>
                  </c:pt>
                  <c:pt idx="1">
                    <c:v>Reel</c:v>
                  </c:pt>
                  <c:pt idx="2">
                    <c:v>Reel</c:v>
                  </c:pt>
                  <c:pt idx="3">
                    <c:v>Video</c:v>
                  </c:pt>
                  <c:pt idx="4">
                    <c:v>Reel</c:v>
                  </c:pt>
                  <c:pt idx="5">
                    <c:v>Reel</c:v>
                  </c:pt>
                  <c:pt idx="6">
                    <c:v>Reel</c:v>
                  </c:pt>
                  <c:pt idx="7">
                    <c:v>Reel</c:v>
                  </c:pt>
                  <c:pt idx="8">
                    <c:v>Video</c:v>
                  </c:pt>
                  <c:pt idx="9">
                    <c:v>Reel</c:v>
                  </c:pt>
                </c:lvl>
                <c:lvl>
                  <c:pt idx="0">
                    <c:v>POST-60378</c:v>
                  </c:pt>
                  <c:pt idx="1">
                    <c:v>POST-60373</c:v>
                  </c:pt>
                  <c:pt idx="2">
                    <c:v>POST-60950</c:v>
                  </c:pt>
                  <c:pt idx="3">
                    <c:v>POST-60468</c:v>
                  </c:pt>
                  <c:pt idx="4">
                    <c:v>POST-60913</c:v>
                  </c:pt>
                  <c:pt idx="5">
                    <c:v>POST-60871</c:v>
                  </c:pt>
                  <c:pt idx="6">
                    <c:v>POST-60465</c:v>
                  </c:pt>
                  <c:pt idx="7">
                    <c:v>POST-60702</c:v>
                  </c:pt>
                  <c:pt idx="8">
                    <c:v>POST-60966</c:v>
                  </c:pt>
                  <c:pt idx="9">
                    <c:v>POST-60424</c:v>
                  </c:pt>
                </c:lvl>
              </c:multiLvlStrCache>
            </c:multiLvlStrRef>
          </c:cat>
          <c:val>
            <c:numRef>
              <c:f>Analysis!$B$89:$B$98</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4-F2DF-4EF0-AF1E-46D1B7AE34EF}"/>
            </c:ext>
          </c:extLst>
        </c:ser>
        <c:ser>
          <c:idx val="1"/>
          <c:order val="1"/>
          <c:tx>
            <c:strRef>
              <c:f>Analysis!$B$89:$B$98</c:f>
              <c:strCache>
                <c:ptCount val="1"/>
                <c:pt idx="0">
                  <c:v>Instagram</c:v>
                </c:pt>
              </c:strCache>
            </c:strRef>
          </c:tx>
          <c:spPr>
            <a:solidFill>
              <a:schemeClr val="accent2"/>
            </a:solidFill>
            <a:ln>
              <a:noFill/>
            </a:ln>
            <a:effectLst/>
          </c:spPr>
          <c:invertIfNegative val="0"/>
          <c:cat>
            <c:multiLvlStrRef>
              <c:f>Analysis!$B$89:$B$98</c:f>
              <c:multiLvlStrCache>
                <c:ptCount val="10"/>
                <c:lvl>
                  <c:pt idx="0">
                    <c:v>Reel</c:v>
                  </c:pt>
                  <c:pt idx="1">
                    <c:v>Reel</c:v>
                  </c:pt>
                  <c:pt idx="2">
                    <c:v>Reel</c:v>
                  </c:pt>
                  <c:pt idx="3">
                    <c:v>Video</c:v>
                  </c:pt>
                  <c:pt idx="4">
                    <c:v>Reel</c:v>
                  </c:pt>
                  <c:pt idx="5">
                    <c:v>Reel</c:v>
                  </c:pt>
                  <c:pt idx="6">
                    <c:v>Reel</c:v>
                  </c:pt>
                  <c:pt idx="7">
                    <c:v>Reel</c:v>
                  </c:pt>
                  <c:pt idx="8">
                    <c:v>Video</c:v>
                  </c:pt>
                  <c:pt idx="9">
                    <c:v>Reel</c:v>
                  </c:pt>
                </c:lvl>
                <c:lvl>
                  <c:pt idx="0">
                    <c:v>POST-60378</c:v>
                  </c:pt>
                  <c:pt idx="1">
                    <c:v>POST-60373</c:v>
                  </c:pt>
                  <c:pt idx="2">
                    <c:v>POST-60950</c:v>
                  </c:pt>
                  <c:pt idx="3">
                    <c:v>POST-60468</c:v>
                  </c:pt>
                  <c:pt idx="4">
                    <c:v>POST-60913</c:v>
                  </c:pt>
                  <c:pt idx="5">
                    <c:v>POST-60871</c:v>
                  </c:pt>
                  <c:pt idx="6">
                    <c:v>POST-60465</c:v>
                  </c:pt>
                  <c:pt idx="7">
                    <c:v>POST-60702</c:v>
                  </c:pt>
                  <c:pt idx="8">
                    <c:v>POST-60966</c:v>
                  </c:pt>
                  <c:pt idx="9">
                    <c:v>POST-60424</c:v>
                  </c:pt>
                </c:lvl>
              </c:multiLvlStrCache>
            </c:multiLvlStrRef>
          </c:cat>
          <c:val>
            <c:numRef>
              <c:f>Analysis!$B$89:$B$98</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5-F2DF-4EF0-AF1E-46D1B7AE34EF}"/>
            </c:ext>
          </c:extLst>
        </c:ser>
        <c:ser>
          <c:idx val="2"/>
          <c:order val="2"/>
          <c:tx>
            <c:strRef>
              <c:f>Analysis!$B$89:$B$98</c:f>
              <c:strCache>
                <c:ptCount val="1"/>
                <c:pt idx="0">
                  <c:v>LinkedIn</c:v>
                </c:pt>
              </c:strCache>
            </c:strRef>
          </c:tx>
          <c:spPr>
            <a:solidFill>
              <a:schemeClr val="accent3"/>
            </a:solidFill>
            <a:ln>
              <a:noFill/>
            </a:ln>
            <a:effectLst/>
          </c:spPr>
          <c:invertIfNegative val="0"/>
          <c:cat>
            <c:multiLvlStrRef>
              <c:f>Analysis!$B$89:$B$98</c:f>
              <c:multiLvlStrCache>
                <c:ptCount val="10"/>
                <c:lvl>
                  <c:pt idx="0">
                    <c:v>Reel</c:v>
                  </c:pt>
                  <c:pt idx="1">
                    <c:v>Reel</c:v>
                  </c:pt>
                  <c:pt idx="2">
                    <c:v>Reel</c:v>
                  </c:pt>
                  <c:pt idx="3">
                    <c:v>Video</c:v>
                  </c:pt>
                  <c:pt idx="4">
                    <c:v>Reel</c:v>
                  </c:pt>
                  <c:pt idx="5">
                    <c:v>Reel</c:v>
                  </c:pt>
                  <c:pt idx="6">
                    <c:v>Reel</c:v>
                  </c:pt>
                  <c:pt idx="7">
                    <c:v>Reel</c:v>
                  </c:pt>
                  <c:pt idx="8">
                    <c:v>Video</c:v>
                  </c:pt>
                  <c:pt idx="9">
                    <c:v>Reel</c:v>
                  </c:pt>
                </c:lvl>
                <c:lvl>
                  <c:pt idx="0">
                    <c:v>POST-60378</c:v>
                  </c:pt>
                  <c:pt idx="1">
                    <c:v>POST-60373</c:v>
                  </c:pt>
                  <c:pt idx="2">
                    <c:v>POST-60950</c:v>
                  </c:pt>
                  <c:pt idx="3">
                    <c:v>POST-60468</c:v>
                  </c:pt>
                  <c:pt idx="4">
                    <c:v>POST-60913</c:v>
                  </c:pt>
                  <c:pt idx="5">
                    <c:v>POST-60871</c:v>
                  </c:pt>
                  <c:pt idx="6">
                    <c:v>POST-60465</c:v>
                  </c:pt>
                  <c:pt idx="7">
                    <c:v>POST-60702</c:v>
                  </c:pt>
                  <c:pt idx="8">
                    <c:v>POST-60966</c:v>
                  </c:pt>
                  <c:pt idx="9">
                    <c:v>POST-60424</c:v>
                  </c:pt>
                </c:lvl>
              </c:multiLvlStrCache>
            </c:multiLvlStrRef>
          </c:cat>
          <c:val>
            <c:numRef>
              <c:f>Analysis!$B$89:$B$98</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6-F2DF-4EF0-AF1E-46D1B7AE34EF}"/>
            </c:ext>
          </c:extLst>
        </c:ser>
        <c:ser>
          <c:idx val="3"/>
          <c:order val="3"/>
          <c:tx>
            <c:strRef>
              <c:f>Analysis!$B$89:$B$98</c:f>
              <c:strCache>
                <c:ptCount val="1"/>
                <c:pt idx="0">
                  <c:v>TikTok</c:v>
                </c:pt>
              </c:strCache>
            </c:strRef>
          </c:tx>
          <c:spPr>
            <a:solidFill>
              <a:schemeClr val="accent4"/>
            </a:solidFill>
            <a:ln>
              <a:noFill/>
            </a:ln>
            <a:effectLst/>
          </c:spPr>
          <c:invertIfNegative val="0"/>
          <c:dLbls>
            <c:dLbl>
              <c:idx val="0"/>
              <c:tx>
                <c:rich>
                  <a:bodyPr/>
                  <a:lstStyle/>
                  <a:p>
                    <a:fld id="{FAC7420D-AF22-4ED9-BB52-3DCB5365C3C0}" type="CELLRANGE">
                      <a:rPr lang="en-US"/>
                      <a:pPr/>
                      <a:t>[CELLRANGE]</a:t>
                    </a:fld>
                    <a:r>
                      <a:rPr lang="en-US" baseline="0"/>
                      <a:t>, </a:t>
                    </a:r>
                    <a:fld id="{3E2FD5B5-E347-4D05-9D2E-31E2DE24400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2DF-4EF0-AF1E-46D1B7AE34EF}"/>
                </c:ext>
              </c:extLst>
            </c:dLbl>
            <c:dLbl>
              <c:idx val="1"/>
              <c:tx>
                <c:rich>
                  <a:bodyPr/>
                  <a:lstStyle/>
                  <a:p>
                    <a:fld id="{C3464217-AD28-47EB-8347-39D60CBEE8B6}" type="CELLRANGE">
                      <a:rPr lang="en-US"/>
                      <a:pPr/>
                      <a:t>[CELLRANGE]</a:t>
                    </a:fld>
                    <a:r>
                      <a:rPr lang="en-US" baseline="0"/>
                      <a:t>, </a:t>
                    </a:r>
                    <a:fld id="{F3178120-65B8-4342-BB1C-10A72707368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2DF-4EF0-AF1E-46D1B7AE34EF}"/>
                </c:ext>
              </c:extLst>
            </c:dLbl>
            <c:dLbl>
              <c:idx val="2"/>
              <c:tx>
                <c:rich>
                  <a:bodyPr/>
                  <a:lstStyle/>
                  <a:p>
                    <a:fld id="{E654F4EC-47B6-47B9-B29B-A2C2A6EB2E39}" type="CELLRANGE">
                      <a:rPr lang="en-US"/>
                      <a:pPr/>
                      <a:t>[CELLRANGE]</a:t>
                    </a:fld>
                    <a:r>
                      <a:rPr lang="en-US" baseline="0"/>
                      <a:t>, </a:t>
                    </a:r>
                    <a:fld id="{06365536-0E8D-421F-9490-0A01B2DDBB7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2DF-4EF0-AF1E-46D1B7AE34EF}"/>
                </c:ext>
              </c:extLst>
            </c:dLbl>
            <c:dLbl>
              <c:idx val="3"/>
              <c:tx>
                <c:rich>
                  <a:bodyPr/>
                  <a:lstStyle/>
                  <a:p>
                    <a:fld id="{0CC986EC-7E33-454A-AA4D-593C65ADDFAE}" type="CELLRANGE">
                      <a:rPr lang="en-US"/>
                      <a:pPr/>
                      <a:t>[CELLRANGE]</a:t>
                    </a:fld>
                    <a:r>
                      <a:rPr lang="en-US" baseline="0"/>
                      <a:t>, </a:t>
                    </a:r>
                    <a:fld id="{B4E341B2-7BC3-4170-BB4D-3FAC9F1E1DB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2DF-4EF0-AF1E-46D1B7AE34EF}"/>
                </c:ext>
              </c:extLst>
            </c:dLbl>
            <c:dLbl>
              <c:idx val="4"/>
              <c:tx>
                <c:rich>
                  <a:bodyPr/>
                  <a:lstStyle/>
                  <a:p>
                    <a:fld id="{3BF99442-791B-4B3F-B444-8068E4FECA0F}" type="CELLRANGE">
                      <a:rPr lang="en-US"/>
                      <a:pPr/>
                      <a:t>[CELLRANGE]</a:t>
                    </a:fld>
                    <a:r>
                      <a:rPr lang="en-US" baseline="0"/>
                      <a:t>, </a:t>
                    </a:r>
                    <a:fld id="{92DBCD0D-8798-4330-BEBD-8925D4A84C2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2DF-4EF0-AF1E-46D1B7AE34EF}"/>
                </c:ext>
              </c:extLst>
            </c:dLbl>
            <c:dLbl>
              <c:idx val="5"/>
              <c:tx>
                <c:rich>
                  <a:bodyPr/>
                  <a:lstStyle/>
                  <a:p>
                    <a:fld id="{78C2FB8B-1796-4F83-BDF5-A22308C4A8F2}" type="CELLRANGE">
                      <a:rPr lang="en-US"/>
                      <a:pPr/>
                      <a:t>[CELLRANGE]</a:t>
                    </a:fld>
                    <a:r>
                      <a:rPr lang="en-US" baseline="0"/>
                      <a:t>, </a:t>
                    </a:r>
                    <a:fld id="{AF5A772F-3002-4794-B369-C20A4C90C87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2DF-4EF0-AF1E-46D1B7AE34EF}"/>
                </c:ext>
              </c:extLst>
            </c:dLbl>
            <c:dLbl>
              <c:idx val="6"/>
              <c:tx>
                <c:rich>
                  <a:bodyPr/>
                  <a:lstStyle/>
                  <a:p>
                    <a:fld id="{8870088D-740F-44F4-989C-A55F1EB225D4}" type="CELLRANGE">
                      <a:rPr lang="en-US"/>
                      <a:pPr/>
                      <a:t>[CELLRANGE]</a:t>
                    </a:fld>
                    <a:r>
                      <a:rPr lang="en-US" baseline="0"/>
                      <a:t>, </a:t>
                    </a:r>
                    <a:fld id="{892798C6-307E-48F6-9C49-EC0101439E24}"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2DF-4EF0-AF1E-46D1B7AE34EF}"/>
                </c:ext>
              </c:extLst>
            </c:dLbl>
            <c:dLbl>
              <c:idx val="7"/>
              <c:tx>
                <c:rich>
                  <a:bodyPr/>
                  <a:lstStyle/>
                  <a:p>
                    <a:fld id="{FB5896B6-AB06-4322-80F0-956872E928E8}" type="CELLRANGE">
                      <a:rPr lang="en-US"/>
                      <a:pPr/>
                      <a:t>[CELLRANGE]</a:t>
                    </a:fld>
                    <a:r>
                      <a:rPr lang="en-US" baseline="0"/>
                      <a:t>, </a:t>
                    </a:r>
                    <a:fld id="{01532EDB-9077-4FCD-8B57-1963E1C4300E}"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2DF-4EF0-AF1E-46D1B7AE34EF}"/>
                </c:ext>
              </c:extLst>
            </c:dLbl>
            <c:dLbl>
              <c:idx val="8"/>
              <c:tx>
                <c:rich>
                  <a:bodyPr/>
                  <a:lstStyle/>
                  <a:p>
                    <a:fld id="{1014B780-AE0B-4C26-B8AA-E7DC74A84BA0}" type="CELLRANGE">
                      <a:rPr lang="en-US"/>
                      <a:pPr/>
                      <a:t>[CELLRANGE]</a:t>
                    </a:fld>
                    <a:r>
                      <a:rPr lang="en-US" baseline="0"/>
                      <a:t>, </a:t>
                    </a:r>
                    <a:fld id="{0FC67244-D8E3-47EF-9C98-2CCF0CD6EAB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2DF-4EF0-AF1E-46D1B7AE34EF}"/>
                </c:ext>
              </c:extLst>
            </c:dLbl>
            <c:dLbl>
              <c:idx val="9"/>
              <c:tx>
                <c:rich>
                  <a:bodyPr/>
                  <a:lstStyle/>
                  <a:p>
                    <a:fld id="{BF211F9C-554E-47D5-90FB-D90670A5D130}" type="CELLRANGE">
                      <a:rPr lang="en-US"/>
                      <a:pPr/>
                      <a:t>[CELLRANGE]</a:t>
                    </a:fld>
                    <a:r>
                      <a:rPr lang="en-US" baseline="0"/>
                      <a:t>, </a:t>
                    </a:r>
                    <a:fld id="{E8F12492-1377-4140-833F-9D14C98DF84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2DF-4EF0-AF1E-46D1B7AE34E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Analysis!$B$89:$B$98</c:f>
              <c:multiLvlStrCache>
                <c:ptCount val="10"/>
                <c:lvl>
                  <c:pt idx="0">
                    <c:v>Reel</c:v>
                  </c:pt>
                  <c:pt idx="1">
                    <c:v>Reel</c:v>
                  </c:pt>
                  <c:pt idx="2">
                    <c:v>Reel</c:v>
                  </c:pt>
                  <c:pt idx="3">
                    <c:v>Video</c:v>
                  </c:pt>
                  <c:pt idx="4">
                    <c:v>Reel</c:v>
                  </c:pt>
                  <c:pt idx="5">
                    <c:v>Reel</c:v>
                  </c:pt>
                  <c:pt idx="6">
                    <c:v>Reel</c:v>
                  </c:pt>
                  <c:pt idx="7">
                    <c:v>Reel</c:v>
                  </c:pt>
                  <c:pt idx="8">
                    <c:v>Video</c:v>
                  </c:pt>
                  <c:pt idx="9">
                    <c:v>Reel</c:v>
                  </c:pt>
                </c:lvl>
                <c:lvl>
                  <c:pt idx="0">
                    <c:v>POST-60378</c:v>
                  </c:pt>
                  <c:pt idx="1">
                    <c:v>POST-60373</c:v>
                  </c:pt>
                  <c:pt idx="2">
                    <c:v>POST-60950</c:v>
                  </c:pt>
                  <c:pt idx="3">
                    <c:v>POST-60468</c:v>
                  </c:pt>
                  <c:pt idx="4">
                    <c:v>POST-60913</c:v>
                  </c:pt>
                  <c:pt idx="5">
                    <c:v>POST-60871</c:v>
                  </c:pt>
                  <c:pt idx="6">
                    <c:v>POST-60465</c:v>
                  </c:pt>
                  <c:pt idx="7">
                    <c:v>POST-60702</c:v>
                  </c:pt>
                  <c:pt idx="8">
                    <c:v>POST-60966</c:v>
                  </c:pt>
                  <c:pt idx="9">
                    <c:v>POST-60424</c:v>
                  </c:pt>
                </c:lvl>
              </c:multiLvlStrCache>
            </c:multiLvlStrRef>
          </c:cat>
          <c:val>
            <c:numRef>
              <c:f>Analysis!$B$89:$B$98</c:f>
              <c:numCache>
                <c:formatCode>0.00%</c:formatCode>
                <c:ptCount val="10"/>
                <c:pt idx="0">
                  <c:v>0.17753850263533716</c:v>
                </c:pt>
                <c:pt idx="1">
                  <c:v>0.17767321109849099</c:v>
                </c:pt>
                <c:pt idx="2">
                  <c:v>0.17913952352751716</c:v>
                </c:pt>
                <c:pt idx="3">
                  <c:v>0.17990334298236291</c:v>
                </c:pt>
                <c:pt idx="4">
                  <c:v>0.18024279933349202</c:v>
                </c:pt>
                <c:pt idx="5">
                  <c:v>0.18217789912981708</c:v>
                </c:pt>
                <c:pt idx="6">
                  <c:v>0.18251740629215321</c:v>
                </c:pt>
                <c:pt idx="7">
                  <c:v>0.18367803242034655</c:v>
                </c:pt>
                <c:pt idx="8">
                  <c:v>0.18428703447624573</c:v>
                </c:pt>
                <c:pt idx="9">
                  <c:v>0.19337736613017512</c:v>
                </c:pt>
              </c:numCache>
            </c:numRef>
          </c:val>
          <c:extLst>
            <c:ext xmlns:c15="http://schemas.microsoft.com/office/drawing/2012/chart" uri="{02D57815-91ED-43cb-92C2-25804820EDAC}">
              <c15:datalabelsRange>
                <c15:f>Analysis!$B$89:$B$98</c15:f>
                <c15:dlblRangeCache>
                  <c:ptCount val="10"/>
                  <c:pt idx="0">
                    <c:v>Reel</c:v>
                  </c:pt>
                  <c:pt idx="1">
                    <c:v>Reel</c:v>
                  </c:pt>
                  <c:pt idx="2">
                    <c:v>Reel</c:v>
                  </c:pt>
                  <c:pt idx="3">
                    <c:v>Video</c:v>
                  </c:pt>
                  <c:pt idx="4">
                    <c:v>Reel</c:v>
                  </c:pt>
                  <c:pt idx="5">
                    <c:v>Reel</c:v>
                  </c:pt>
                  <c:pt idx="6">
                    <c:v>Reel</c:v>
                  </c:pt>
                  <c:pt idx="7">
                    <c:v>Reel</c:v>
                  </c:pt>
                  <c:pt idx="8">
                    <c:v>Video</c:v>
                  </c:pt>
                  <c:pt idx="9">
                    <c:v>Reel</c:v>
                  </c:pt>
                </c15:dlblRangeCache>
              </c15:datalabelsRange>
            </c:ext>
            <c:ext xmlns:c16="http://schemas.microsoft.com/office/drawing/2014/chart" uri="{C3380CC4-5D6E-409C-BE32-E72D297353CC}">
              <c16:uniqueId val="{00000027-F2DF-4EF0-AF1E-46D1B7AE34EF}"/>
            </c:ext>
          </c:extLst>
        </c:ser>
        <c:ser>
          <c:idx val="4"/>
          <c:order val="4"/>
          <c:tx>
            <c:strRef>
              <c:f>Analysis!$B$89:$B$98</c:f>
              <c:strCache>
                <c:ptCount val="1"/>
                <c:pt idx="0">
                  <c:v>Twitter</c:v>
                </c:pt>
              </c:strCache>
            </c:strRef>
          </c:tx>
          <c:spPr>
            <a:solidFill>
              <a:schemeClr val="accent5"/>
            </a:solidFill>
            <a:ln>
              <a:noFill/>
            </a:ln>
            <a:effectLst/>
          </c:spPr>
          <c:invertIfNegative val="0"/>
          <c:cat>
            <c:multiLvlStrRef>
              <c:f>Analysis!$B$89:$B$98</c:f>
              <c:multiLvlStrCache>
                <c:ptCount val="10"/>
                <c:lvl>
                  <c:pt idx="0">
                    <c:v>Reel</c:v>
                  </c:pt>
                  <c:pt idx="1">
                    <c:v>Reel</c:v>
                  </c:pt>
                  <c:pt idx="2">
                    <c:v>Reel</c:v>
                  </c:pt>
                  <c:pt idx="3">
                    <c:v>Video</c:v>
                  </c:pt>
                  <c:pt idx="4">
                    <c:v>Reel</c:v>
                  </c:pt>
                  <c:pt idx="5">
                    <c:v>Reel</c:v>
                  </c:pt>
                  <c:pt idx="6">
                    <c:v>Reel</c:v>
                  </c:pt>
                  <c:pt idx="7">
                    <c:v>Reel</c:v>
                  </c:pt>
                  <c:pt idx="8">
                    <c:v>Video</c:v>
                  </c:pt>
                  <c:pt idx="9">
                    <c:v>Reel</c:v>
                  </c:pt>
                </c:lvl>
                <c:lvl>
                  <c:pt idx="0">
                    <c:v>POST-60378</c:v>
                  </c:pt>
                  <c:pt idx="1">
                    <c:v>POST-60373</c:v>
                  </c:pt>
                  <c:pt idx="2">
                    <c:v>POST-60950</c:v>
                  </c:pt>
                  <c:pt idx="3">
                    <c:v>POST-60468</c:v>
                  </c:pt>
                  <c:pt idx="4">
                    <c:v>POST-60913</c:v>
                  </c:pt>
                  <c:pt idx="5">
                    <c:v>POST-60871</c:v>
                  </c:pt>
                  <c:pt idx="6">
                    <c:v>POST-60465</c:v>
                  </c:pt>
                  <c:pt idx="7">
                    <c:v>POST-60702</c:v>
                  </c:pt>
                  <c:pt idx="8">
                    <c:v>POST-60966</c:v>
                  </c:pt>
                  <c:pt idx="9">
                    <c:v>POST-60424</c:v>
                  </c:pt>
                </c:lvl>
              </c:multiLvlStrCache>
            </c:multiLvlStrRef>
          </c:cat>
          <c:val>
            <c:numRef>
              <c:f>Analysis!$B$89:$B$98</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8-F2DF-4EF0-AF1E-46D1B7AE34EF}"/>
            </c:ext>
          </c:extLst>
        </c:ser>
        <c:dLbls>
          <c:showLegendKey val="0"/>
          <c:showVal val="0"/>
          <c:showCatName val="0"/>
          <c:showSerName val="0"/>
          <c:showPercent val="0"/>
          <c:showBubbleSize val="0"/>
        </c:dLbls>
        <c:gapWidth val="0"/>
        <c:overlap val="50"/>
        <c:axId val="463123584"/>
        <c:axId val="290147440"/>
      </c:barChart>
      <c:catAx>
        <c:axId val="463123584"/>
        <c:scaling>
          <c:orientation val="minMax"/>
        </c:scaling>
        <c:delete val="1"/>
        <c:axPos val="l"/>
        <c:numFmt formatCode="General" sourceLinked="1"/>
        <c:majorTickMark val="none"/>
        <c:minorTickMark val="none"/>
        <c:tickLblPos val="nextTo"/>
        <c:crossAx val="290147440"/>
        <c:crosses val="autoZero"/>
        <c:auto val="1"/>
        <c:lblAlgn val="ctr"/>
        <c:lblOffset val="100"/>
        <c:noMultiLvlLbl val="0"/>
      </c:catAx>
      <c:valAx>
        <c:axId val="290147440"/>
        <c:scaling>
          <c:orientation val="minMax"/>
        </c:scaling>
        <c:delete val="1"/>
        <c:axPos val="b"/>
        <c:numFmt formatCode="0.00%" sourceLinked="1"/>
        <c:majorTickMark val="none"/>
        <c:minorTickMark val="none"/>
        <c:tickLblPos val="nextTo"/>
        <c:crossAx val="463123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Social Media Analytics.xlsx]Analysis!BOT10</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C607B1F-2BFA-4318-8670-192EC3DA9666}"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EFB3CA71-E9CC-4BA2-A1E1-C104E0A935CB}"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49C01C5-2EBE-42DC-BBDA-440C4B4C3109}"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696D744E-3FA7-4679-B9BA-4FF4FBF5B39F}"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382893-B9D1-4215-8E4F-8A50606AB239}"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E7A780BB-9CCA-4ABD-82BB-B506CB215352}"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33FE088-7F3A-4E4E-A93F-2CF10CBA3D43}"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0EC3ACDF-16A9-40DC-AC24-F8C5B7D62EA9}"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5970F14-CF33-4983-8943-8555CA9C8173}"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05E78552-B16C-4CA6-92C2-B99AFFE8E6C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7F1A04C-D5CD-4276-9BF1-EF9430B92E9C}"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68D7CE27-05BE-4385-9EA7-45FF193671A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278BA92-AED5-4BF0-9932-8C65802EFB9F}"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735F1DFC-8945-4EF0-8B54-BDE6B65E5768}"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51EE8B8-0098-4239-B87D-58E96FD7B26C}"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8B442D20-7808-425C-A563-0A79A8804927}"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7F75ACF-E9D4-4DF8-9CBB-D70EB2E6CFA5}"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74B1B001-9060-4AD4-A193-457A084267CF}"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2D84591-3B59-4C9E-AC4E-0FA38031EC16}"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E7C2CFA2-C124-47FF-900E-C1C3C073CFD0}"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0"/>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C7422C2-76E7-42C3-B019-53BB1BA44DDD}"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49FE4162-2E33-4C2B-A451-5E74869AB35B}"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EB71D9D-18D4-419F-B25A-3DE1FF4D8F0B}"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FE56B00A-D2CB-4F53-84C8-835D26AC27DA}"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55A5CA7-B5FA-4F35-B8F5-2FE240622D50}"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2EB5853B-5207-4148-B4EB-E6423D63D0D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F77D63A-8E6E-48F0-93BC-D861FDE95140}"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50A12C35-F1A5-4110-A961-9CFF13BE8031}"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A21EA4-FB01-4F63-8F72-9CE5E41403FA}"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240CC0A1-3EEA-4146-BB61-00758531199D}"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AEF865A-BA5D-4D6A-AEDC-34914F05E85E}"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E2FC2AF5-8B59-4C0A-B230-14FEE1F9EDEA}"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1D9288-7F5A-4D24-9F8A-F56C8D34B64A}"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C0451901-7423-4D3B-88AB-0EBF04B8DAA5}"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8A19B9-D3ED-4E49-B43A-AB6A4D937A49}"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72C41FDB-F5B1-4D59-BB3A-DB8CA96A961A}"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0D8F4D3-FCAB-474F-B518-9D37DC29DDA8}"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C1FE2D82-4BBF-43A3-83E9-8B78725168C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DC4BB-A4B0-458C-BCA2-565D5C6A4594}"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AB0B7100-1184-4235-BD48-0C8A19E65A8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2D5EBE1-2CA2-49E9-9947-2ED79D81BC3A}" type="CELLRANGE">
                  <a:rPr lang="en-US"/>
                  <a:pPr>
                    <a:defRPr b="1"/>
                  </a:pPr>
                  <a:t>[CELLRANGE]</a:t>
                </a:fld>
                <a:r>
                  <a:rPr lang="en-US" baseline="0"/>
                  <a:t>, </a:t>
                </a:r>
                <a:fld id="{1A69A41C-BFA1-4C1C-8A56-5C02E3ABC50F}"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3BC3FCE-8270-4DB9-A10B-A5BC08578298}" type="CELLRANGE">
                  <a:rPr lang="en-US"/>
                  <a:pPr>
                    <a:defRPr b="1"/>
                  </a:pPr>
                  <a:t>[CELLRANGE]</a:t>
                </a:fld>
                <a:r>
                  <a:rPr lang="en-US" baseline="0"/>
                  <a:t>, </a:t>
                </a:r>
                <a:fld id="{FC76DB2E-CF40-4276-BC44-5BD9FFB2FE09}"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4321AB5-A65C-408C-96E7-6D59F3054322}" type="CELLRANGE">
                  <a:rPr lang="en-US"/>
                  <a:pPr>
                    <a:defRPr b="1"/>
                  </a:pPr>
                  <a:t>[CELLRANGE]</a:t>
                </a:fld>
                <a:r>
                  <a:rPr lang="en-US" baseline="0"/>
                  <a:t>, </a:t>
                </a:r>
                <a:fld id="{6820B639-A5D9-4CDE-9200-BF56EBD6DD89}"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85701DB-D611-4184-8F0F-5C558982612C}" type="CELLRANGE">
                  <a:rPr lang="en-US"/>
                  <a:pPr>
                    <a:defRPr b="1"/>
                  </a:pPr>
                  <a:t>[CELLRANGE]</a:t>
                </a:fld>
                <a:r>
                  <a:rPr lang="en-US" baseline="0"/>
                  <a:t>, </a:t>
                </a:r>
                <a:fld id="{A68E4B78-5614-49B7-92B1-16683E31AA00}"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0694B7B-9CD7-4CE9-9EEC-34BFF7591007}" type="CELLRANGE">
                  <a:rPr lang="en-US"/>
                  <a:pPr>
                    <a:defRPr b="1"/>
                  </a:pPr>
                  <a:t>[CELLRANGE]</a:t>
                </a:fld>
                <a:r>
                  <a:rPr lang="en-US" baseline="0"/>
                  <a:t>, </a:t>
                </a:r>
                <a:fld id="{D94C98F1-53B6-456E-8B27-918758AABFD5}"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CB24CB5-DA8D-4971-8F23-A1BFC0FEFE9F}" type="CELLRANGE">
                  <a:rPr lang="en-US"/>
                  <a:pPr>
                    <a:defRPr b="1"/>
                  </a:pPr>
                  <a:t>[CELLRANGE]</a:t>
                </a:fld>
                <a:r>
                  <a:rPr lang="en-US" baseline="0"/>
                  <a:t>, </a:t>
                </a:r>
                <a:fld id="{82B05CB8-9F4A-4DE3-80BE-50CF6959A797}"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1D6A6A-E97C-483B-98BF-1EE77F419AB1}" type="CELLRANGE">
                  <a:rPr lang="en-US"/>
                  <a:pPr>
                    <a:defRPr b="1"/>
                  </a:pPr>
                  <a:t>[CELLRANGE]</a:t>
                </a:fld>
                <a:r>
                  <a:rPr lang="en-US" baseline="0"/>
                  <a:t>, </a:t>
                </a:r>
                <a:fld id="{415EB240-0D38-42FB-884D-61DCBBA6A030}"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BC81C60-12F8-4A4D-A789-C4EC99C74881}" type="CELLRANGE">
                  <a:rPr lang="en-US"/>
                  <a:pPr>
                    <a:defRPr b="1"/>
                  </a:pPr>
                  <a:t>[CELLRANGE]</a:t>
                </a:fld>
                <a:r>
                  <a:rPr lang="en-US" baseline="0"/>
                  <a:t>, </a:t>
                </a:r>
                <a:fld id="{B59FA894-C23C-4796-A66E-DDD8B5008423}"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DAD6D1-2EAE-48B4-97EF-9BC2F2B93FFC}" type="CELLRANGE">
                  <a:rPr lang="en-US"/>
                  <a:pPr>
                    <a:defRPr b="1"/>
                  </a:pPr>
                  <a:t>[CELLRANGE]</a:t>
                </a:fld>
                <a:r>
                  <a:rPr lang="en-US" baseline="0"/>
                  <a:t>, </a:t>
                </a:r>
                <a:fld id="{CF1289AB-2761-4D94-B904-9ECD518022BC}"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0346434-D184-40E4-BD9E-BF218E9F32C2}" type="CELLRANGE">
                  <a:rPr lang="en-US"/>
                  <a:pPr>
                    <a:defRPr b="1"/>
                  </a:pPr>
                  <a:t>[CELLRANGE]</a:t>
                </a:fld>
                <a:r>
                  <a:rPr lang="en-US" baseline="0"/>
                  <a:t>, </a:t>
                </a:r>
                <a:fld id="{3E908534-14CB-44AB-9233-9769815B6925}" type="VALUE">
                  <a:rPr lang="en-US" baseline="0"/>
                  <a:pPr>
                    <a:defRPr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Analysis!$B$102:$B$111</c:f>
              <c:strCache>
                <c:ptCount val="1"/>
                <c:pt idx="0">
                  <c:v>Facebook</c:v>
                </c:pt>
              </c:strCache>
            </c:strRef>
          </c:tx>
          <c:spPr>
            <a:solidFill>
              <a:schemeClr val="accent1"/>
            </a:solidFill>
            <a:ln>
              <a:noFill/>
            </a:ln>
            <a:effectLst/>
          </c:spPr>
          <c:invertIfNegative val="0"/>
          <c:cat>
            <c:multiLvlStrRef>
              <c:f>Analysis!$B$102:$B$111</c:f>
              <c:multiLvlStrCache>
                <c:ptCount val="10"/>
                <c:lvl>
                  <c:pt idx="0">
                    <c:v>Text</c:v>
                  </c:pt>
                  <c:pt idx="1">
                    <c:v>Image</c:v>
                  </c:pt>
                  <c:pt idx="2">
                    <c:v>Text</c:v>
                  </c:pt>
                  <c:pt idx="3">
                    <c:v>Image</c:v>
                  </c:pt>
                  <c:pt idx="4">
                    <c:v>Image</c:v>
                  </c:pt>
                  <c:pt idx="5">
                    <c:v>Video</c:v>
                  </c:pt>
                  <c:pt idx="6">
                    <c:v>Text</c:v>
                  </c:pt>
                  <c:pt idx="7">
                    <c:v>Image</c:v>
                  </c:pt>
                  <c:pt idx="8">
                    <c:v>Image</c:v>
                  </c:pt>
                  <c:pt idx="9">
                    <c:v>Text</c:v>
                  </c:pt>
                </c:lvl>
                <c:lvl>
                  <c:pt idx="0">
                    <c:v>POST-60066</c:v>
                  </c:pt>
                  <c:pt idx="1">
                    <c:v>POST-60624</c:v>
                  </c:pt>
                  <c:pt idx="2">
                    <c:v>POST-60687</c:v>
                  </c:pt>
                  <c:pt idx="3">
                    <c:v>POST-60620</c:v>
                  </c:pt>
                  <c:pt idx="4">
                    <c:v>POST-60764</c:v>
                  </c:pt>
                  <c:pt idx="5">
                    <c:v>POST-60498</c:v>
                  </c:pt>
                  <c:pt idx="6">
                    <c:v>POST-60569</c:v>
                  </c:pt>
                  <c:pt idx="7">
                    <c:v>POST-60714</c:v>
                  </c:pt>
                  <c:pt idx="8">
                    <c:v>POST-60743</c:v>
                  </c:pt>
                  <c:pt idx="9">
                    <c:v>POST-60250</c:v>
                  </c:pt>
                </c:lvl>
              </c:multiLvlStrCache>
            </c:multiLvlStrRef>
          </c:cat>
          <c:val>
            <c:numRef>
              <c:f>Analysis!$B$102:$B$111</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0-200D-4486-9342-84972BE83DA1}"/>
            </c:ext>
          </c:extLst>
        </c:ser>
        <c:ser>
          <c:idx val="1"/>
          <c:order val="1"/>
          <c:tx>
            <c:strRef>
              <c:f>Analysis!$B$102:$B$111</c:f>
              <c:strCache>
                <c:ptCount val="1"/>
                <c:pt idx="0">
                  <c:v>Instagram</c:v>
                </c:pt>
              </c:strCache>
            </c:strRef>
          </c:tx>
          <c:spPr>
            <a:solidFill>
              <a:schemeClr val="accent2"/>
            </a:solidFill>
            <a:ln>
              <a:noFill/>
            </a:ln>
            <a:effectLst/>
          </c:spPr>
          <c:invertIfNegative val="0"/>
          <c:cat>
            <c:multiLvlStrRef>
              <c:f>Analysis!$B$102:$B$111</c:f>
              <c:multiLvlStrCache>
                <c:ptCount val="10"/>
                <c:lvl>
                  <c:pt idx="0">
                    <c:v>Text</c:v>
                  </c:pt>
                  <c:pt idx="1">
                    <c:v>Image</c:v>
                  </c:pt>
                  <c:pt idx="2">
                    <c:v>Text</c:v>
                  </c:pt>
                  <c:pt idx="3">
                    <c:v>Image</c:v>
                  </c:pt>
                  <c:pt idx="4">
                    <c:v>Image</c:v>
                  </c:pt>
                  <c:pt idx="5">
                    <c:v>Video</c:v>
                  </c:pt>
                  <c:pt idx="6">
                    <c:v>Text</c:v>
                  </c:pt>
                  <c:pt idx="7">
                    <c:v>Image</c:v>
                  </c:pt>
                  <c:pt idx="8">
                    <c:v>Image</c:v>
                  </c:pt>
                  <c:pt idx="9">
                    <c:v>Text</c:v>
                  </c:pt>
                </c:lvl>
                <c:lvl>
                  <c:pt idx="0">
                    <c:v>POST-60066</c:v>
                  </c:pt>
                  <c:pt idx="1">
                    <c:v>POST-60624</c:v>
                  </c:pt>
                  <c:pt idx="2">
                    <c:v>POST-60687</c:v>
                  </c:pt>
                  <c:pt idx="3">
                    <c:v>POST-60620</c:v>
                  </c:pt>
                  <c:pt idx="4">
                    <c:v>POST-60764</c:v>
                  </c:pt>
                  <c:pt idx="5">
                    <c:v>POST-60498</c:v>
                  </c:pt>
                  <c:pt idx="6">
                    <c:v>POST-60569</c:v>
                  </c:pt>
                  <c:pt idx="7">
                    <c:v>POST-60714</c:v>
                  </c:pt>
                  <c:pt idx="8">
                    <c:v>POST-60743</c:v>
                  </c:pt>
                  <c:pt idx="9">
                    <c:v>POST-60250</c:v>
                  </c:pt>
                </c:lvl>
              </c:multiLvlStrCache>
            </c:multiLvlStrRef>
          </c:cat>
          <c:val>
            <c:numRef>
              <c:f>Analysis!$B$102:$B$111</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1-200D-4486-9342-84972BE83DA1}"/>
            </c:ext>
          </c:extLst>
        </c:ser>
        <c:ser>
          <c:idx val="2"/>
          <c:order val="2"/>
          <c:tx>
            <c:strRef>
              <c:f>Analysis!$B$102:$B$111</c:f>
              <c:strCache>
                <c:ptCount val="1"/>
                <c:pt idx="0">
                  <c:v>LinkedIn</c:v>
                </c:pt>
              </c:strCache>
            </c:strRef>
          </c:tx>
          <c:spPr>
            <a:solidFill>
              <a:schemeClr val="accent3"/>
            </a:solidFill>
            <a:ln>
              <a:noFill/>
            </a:ln>
            <a:effectLst/>
          </c:spPr>
          <c:invertIfNegative val="0"/>
          <c:cat>
            <c:multiLvlStrRef>
              <c:f>Analysis!$B$102:$B$111</c:f>
              <c:multiLvlStrCache>
                <c:ptCount val="10"/>
                <c:lvl>
                  <c:pt idx="0">
                    <c:v>Text</c:v>
                  </c:pt>
                  <c:pt idx="1">
                    <c:v>Image</c:v>
                  </c:pt>
                  <c:pt idx="2">
                    <c:v>Text</c:v>
                  </c:pt>
                  <c:pt idx="3">
                    <c:v>Image</c:v>
                  </c:pt>
                  <c:pt idx="4">
                    <c:v>Image</c:v>
                  </c:pt>
                  <c:pt idx="5">
                    <c:v>Video</c:v>
                  </c:pt>
                  <c:pt idx="6">
                    <c:v>Text</c:v>
                  </c:pt>
                  <c:pt idx="7">
                    <c:v>Image</c:v>
                  </c:pt>
                  <c:pt idx="8">
                    <c:v>Image</c:v>
                  </c:pt>
                  <c:pt idx="9">
                    <c:v>Text</c:v>
                  </c:pt>
                </c:lvl>
                <c:lvl>
                  <c:pt idx="0">
                    <c:v>POST-60066</c:v>
                  </c:pt>
                  <c:pt idx="1">
                    <c:v>POST-60624</c:v>
                  </c:pt>
                  <c:pt idx="2">
                    <c:v>POST-60687</c:v>
                  </c:pt>
                  <c:pt idx="3">
                    <c:v>POST-60620</c:v>
                  </c:pt>
                  <c:pt idx="4">
                    <c:v>POST-60764</c:v>
                  </c:pt>
                  <c:pt idx="5">
                    <c:v>POST-60498</c:v>
                  </c:pt>
                  <c:pt idx="6">
                    <c:v>POST-60569</c:v>
                  </c:pt>
                  <c:pt idx="7">
                    <c:v>POST-60714</c:v>
                  </c:pt>
                  <c:pt idx="8">
                    <c:v>POST-60743</c:v>
                  </c:pt>
                  <c:pt idx="9">
                    <c:v>POST-60250</c:v>
                  </c:pt>
                </c:lvl>
              </c:multiLvlStrCache>
            </c:multiLvlStrRef>
          </c:cat>
          <c:val>
            <c:numRef>
              <c:f>Analysis!$B$102:$B$111</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2-200D-4486-9342-84972BE83DA1}"/>
            </c:ext>
          </c:extLst>
        </c:ser>
        <c:ser>
          <c:idx val="3"/>
          <c:order val="3"/>
          <c:tx>
            <c:strRef>
              <c:f>Analysis!$B$102:$B$111</c:f>
              <c:strCache>
                <c:ptCount val="1"/>
                <c:pt idx="0">
                  <c:v>TikTok</c:v>
                </c:pt>
              </c:strCache>
            </c:strRef>
          </c:tx>
          <c:spPr>
            <a:solidFill>
              <a:schemeClr val="accent4"/>
            </a:solidFill>
            <a:ln>
              <a:noFill/>
            </a:ln>
            <a:effectLst/>
          </c:spPr>
          <c:invertIfNegative val="0"/>
          <c:cat>
            <c:multiLvlStrRef>
              <c:f>Analysis!$B$102:$B$111</c:f>
              <c:multiLvlStrCache>
                <c:ptCount val="10"/>
                <c:lvl>
                  <c:pt idx="0">
                    <c:v>Text</c:v>
                  </c:pt>
                  <c:pt idx="1">
                    <c:v>Image</c:v>
                  </c:pt>
                  <c:pt idx="2">
                    <c:v>Text</c:v>
                  </c:pt>
                  <c:pt idx="3">
                    <c:v>Image</c:v>
                  </c:pt>
                  <c:pt idx="4">
                    <c:v>Image</c:v>
                  </c:pt>
                  <c:pt idx="5">
                    <c:v>Video</c:v>
                  </c:pt>
                  <c:pt idx="6">
                    <c:v>Text</c:v>
                  </c:pt>
                  <c:pt idx="7">
                    <c:v>Image</c:v>
                  </c:pt>
                  <c:pt idx="8">
                    <c:v>Image</c:v>
                  </c:pt>
                  <c:pt idx="9">
                    <c:v>Text</c:v>
                  </c:pt>
                </c:lvl>
                <c:lvl>
                  <c:pt idx="0">
                    <c:v>POST-60066</c:v>
                  </c:pt>
                  <c:pt idx="1">
                    <c:v>POST-60624</c:v>
                  </c:pt>
                  <c:pt idx="2">
                    <c:v>POST-60687</c:v>
                  </c:pt>
                  <c:pt idx="3">
                    <c:v>POST-60620</c:v>
                  </c:pt>
                  <c:pt idx="4">
                    <c:v>POST-60764</c:v>
                  </c:pt>
                  <c:pt idx="5">
                    <c:v>POST-60498</c:v>
                  </c:pt>
                  <c:pt idx="6">
                    <c:v>POST-60569</c:v>
                  </c:pt>
                  <c:pt idx="7">
                    <c:v>POST-60714</c:v>
                  </c:pt>
                  <c:pt idx="8">
                    <c:v>POST-60743</c:v>
                  </c:pt>
                  <c:pt idx="9">
                    <c:v>POST-60250</c:v>
                  </c:pt>
                </c:lvl>
              </c:multiLvlStrCache>
            </c:multiLvlStrRef>
          </c:cat>
          <c:val>
            <c:numRef>
              <c:f>Analysis!$B$102:$B$111</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3-200D-4486-9342-84972BE83DA1}"/>
            </c:ext>
          </c:extLst>
        </c:ser>
        <c:ser>
          <c:idx val="4"/>
          <c:order val="4"/>
          <c:tx>
            <c:strRef>
              <c:f>Analysis!$B$102:$B$111</c:f>
              <c:strCache>
                <c:ptCount val="1"/>
                <c:pt idx="0">
                  <c:v>Twitter</c:v>
                </c:pt>
              </c:strCache>
            </c:strRef>
          </c:tx>
          <c:spPr>
            <a:solidFill>
              <a:schemeClr val="accent5"/>
            </a:solidFill>
            <a:ln>
              <a:noFill/>
            </a:ln>
            <a:effectLst/>
          </c:spPr>
          <c:invertIfNegative val="0"/>
          <c:dLbls>
            <c:dLbl>
              <c:idx val="0"/>
              <c:tx>
                <c:rich>
                  <a:bodyPr/>
                  <a:lstStyle/>
                  <a:p>
                    <a:fld id="{C2D5EBE1-2CA2-49E9-9947-2ED79D81BC3A}" type="CELLRANGE">
                      <a:rPr lang="en-US"/>
                      <a:pPr/>
                      <a:t>[CELLRANGE]</a:t>
                    </a:fld>
                    <a:r>
                      <a:rPr lang="en-US" baseline="0"/>
                      <a:t>, </a:t>
                    </a:r>
                    <a:fld id="{1A69A41C-BFA1-4C1C-8A56-5C02E3ABC50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00D-4486-9342-84972BE83DA1}"/>
                </c:ext>
              </c:extLst>
            </c:dLbl>
            <c:dLbl>
              <c:idx val="1"/>
              <c:tx>
                <c:rich>
                  <a:bodyPr/>
                  <a:lstStyle/>
                  <a:p>
                    <a:fld id="{B3BC3FCE-8270-4DB9-A10B-A5BC08578298}" type="CELLRANGE">
                      <a:rPr lang="en-US"/>
                      <a:pPr/>
                      <a:t>[CELLRANGE]</a:t>
                    </a:fld>
                    <a:r>
                      <a:rPr lang="en-US" baseline="0"/>
                      <a:t>, </a:t>
                    </a:r>
                    <a:fld id="{FC76DB2E-CF40-4276-BC44-5BD9FFB2FE0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00D-4486-9342-84972BE83DA1}"/>
                </c:ext>
              </c:extLst>
            </c:dLbl>
            <c:dLbl>
              <c:idx val="2"/>
              <c:tx>
                <c:rich>
                  <a:bodyPr/>
                  <a:lstStyle/>
                  <a:p>
                    <a:fld id="{F4321AB5-A65C-408C-96E7-6D59F3054322}" type="CELLRANGE">
                      <a:rPr lang="en-US"/>
                      <a:pPr/>
                      <a:t>[CELLRANGE]</a:t>
                    </a:fld>
                    <a:r>
                      <a:rPr lang="en-US" baseline="0"/>
                      <a:t>, </a:t>
                    </a:r>
                    <a:fld id="{6820B639-A5D9-4CDE-9200-BF56EBD6DD8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00D-4486-9342-84972BE83DA1}"/>
                </c:ext>
              </c:extLst>
            </c:dLbl>
            <c:dLbl>
              <c:idx val="3"/>
              <c:tx>
                <c:rich>
                  <a:bodyPr/>
                  <a:lstStyle/>
                  <a:p>
                    <a:fld id="{A85701DB-D611-4184-8F0F-5C558982612C}" type="CELLRANGE">
                      <a:rPr lang="en-US"/>
                      <a:pPr/>
                      <a:t>[CELLRANGE]</a:t>
                    </a:fld>
                    <a:r>
                      <a:rPr lang="en-US" baseline="0"/>
                      <a:t>, </a:t>
                    </a:r>
                    <a:fld id="{A68E4B78-5614-49B7-92B1-16683E31AA0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00D-4486-9342-84972BE83DA1}"/>
                </c:ext>
              </c:extLst>
            </c:dLbl>
            <c:dLbl>
              <c:idx val="4"/>
              <c:tx>
                <c:rich>
                  <a:bodyPr/>
                  <a:lstStyle/>
                  <a:p>
                    <a:fld id="{70694B7B-9CD7-4CE9-9EEC-34BFF7591007}" type="CELLRANGE">
                      <a:rPr lang="en-US"/>
                      <a:pPr/>
                      <a:t>[CELLRANGE]</a:t>
                    </a:fld>
                    <a:r>
                      <a:rPr lang="en-US" baseline="0"/>
                      <a:t>, </a:t>
                    </a:r>
                    <a:fld id="{D94C98F1-53B6-456E-8B27-918758AABFD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00D-4486-9342-84972BE83DA1}"/>
                </c:ext>
              </c:extLst>
            </c:dLbl>
            <c:dLbl>
              <c:idx val="5"/>
              <c:tx>
                <c:rich>
                  <a:bodyPr/>
                  <a:lstStyle/>
                  <a:p>
                    <a:fld id="{6CB24CB5-DA8D-4971-8F23-A1BFC0FEFE9F}" type="CELLRANGE">
                      <a:rPr lang="en-US"/>
                      <a:pPr/>
                      <a:t>[CELLRANGE]</a:t>
                    </a:fld>
                    <a:r>
                      <a:rPr lang="en-US" baseline="0"/>
                      <a:t>, </a:t>
                    </a:r>
                    <a:fld id="{82B05CB8-9F4A-4DE3-80BE-50CF6959A79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00D-4486-9342-84972BE83DA1}"/>
                </c:ext>
              </c:extLst>
            </c:dLbl>
            <c:dLbl>
              <c:idx val="6"/>
              <c:tx>
                <c:rich>
                  <a:bodyPr/>
                  <a:lstStyle/>
                  <a:p>
                    <a:fld id="{3A1D6A6A-E97C-483B-98BF-1EE77F419AB1}" type="CELLRANGE">
                      <a:rPr lang="en-US"/>
                      <a:pPr/>
                      <a:t>[CELLRANGE]</a:t>
                    </a:fld>
                    <a:r>
                      <a:rPr lang="en-US" baseline="0"/>
                      <a:t>, </a:t>
                    </a:r>
                    <a:fld id="{415EB240-0D38-42FB-884D-61DCBBA6A03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200D-4486-9342-84972BE83DA1}"/>
                </c:ext>
              </c:extLst>
            </c:dLbl>
            <c:dLbl>
              <c:idx val="7"/>
              <c:tx>
                <c:rich>
                  <a:bodyPr/>
                  <a:lstStyle/>
                  <a:p>
                    <a:fld id="{7BC81C60-12F8-4A4D-A789-C4EC99C74881}" type="CELLRANGE">
                      <a:rPr lang="en-US"/>
                      <a:pPr/>
                      <a:t>[CELLRANGE]</a:t>
                    </a:fld>
                    <a:r>
                      <a:rPr lang="en-US" baseline="0"/>
                      <a:t>, </a:t>
                    </a:r>
                    <a:fld id="{B59FA894-C23C-4796-A66E-DDD8B500842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200D-4486-9342-84972BE83DA1}"/>
                </c:ext>
              </c:extLst>
            </c:dLbl>
            <c:dLbl>
              <c:idx val="8"/>
              <c:tx>
                <c:rich>
                  <a:bodyPr/>
                  <a:lstStyle/>
                  <a:p>
                    <a:fld id="{40DAD6D1-2EAE-48B4-97EF-9BC2F2B93FFC}" type="CELLRANGE">
                      <a:rPr lang="en-US"/>
                      <a:pPr/>
                      <a:t>[CELLRANGE]</a:t>
                    </a:fld>
                    <a:r>
                      <a:rPr lang="en-US" baseline="0"/>
                      <a:t>, </a:t>
                    </a:r>
                    <a:fld id="{CF1289AB-2761-4D94-B904-9ECD518022B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00D-4486-9342-84972BE83DA1}"/>
                </c:ext>
              </c:extLst>
            </c:dLbl>
            <c:dLbl>
              <c:idx val="9"/>
              <c:tx>
                <c:rich>
                  <a:bodyPr/>
                  <a:lstStyle/>
                  <a:p>
                    <a:fld id="{70346434-D184-40E4-BD9E-BF218E9F32C2}" type="CELLRANGE">
                      <a:rPr lang="en-US"/>
                      <a:pPr/>
                      <a:t>[CELLRANGE]</a:t>
                    </a:fld>
                    <a:r>
                      <a:rPr lang="en-US" baseline="0"/>
                      <a:t>, </a:t>
                    </a:r>
                    <a:fld id="{3E908534-14CB-44AB-9233-9769815B692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00D-4486-9342-84972BE83D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Analysis!$B$102:$B$111</c:f>
              <c:multiLvlStrCache>
                <c:ptCount val="10"/>
                <c:lvl>
                  <c:pt idx="0">
                    <c:v>Text</c:v>
                  </c:pt>
                  <c:pt idx="1">
                    <c:v>Image</c:v>
                  </c:pt>
                  <c:pt idx="2">
                    <c:v>Text</c:v>
                  </c:pt>
                  <c:pt idx="3">
                    <c:v>Image</c:v>
                  </c:pt>
                  <c:pt idx="4">
                    <c:v>Image</c:v>
                  </c:pt>
                  <c:pt idx="5">
                    <c:v>Video</c:v>
                  </c:pt>
                  <c:pt idx="6">
                    <c:v>Text</c:v>
                  </c:pt>
                  <c:pt idx="7">
                    <c:v>Image</c:v>
                  </c:pt>
                  <c:pt idx="8">
                    <c:v>Image</c:v>
                  </c:pt>
                  <c:pt idx="9">
                    <c:v>Text</c:v>
                  </c:pt>
                </c:lvl>
                <c:lvl>
                  <c:pt idx="0">
                    <c:v>POST-60066</c:v>
                  </c:pt>
                  <c:pt idx="1">
                    <c:v>POST-60624</c:v>
                  </c:pt>
                  <c:pt idx="2">
                    <c:v>POST-60687</c:v>
                  </c:pt>
                  <c:pt idx="3">
                    <c:v>POST-60620</c:v>
                  </c:pt>
                  <c:pt idx="4">
                    <c:v>POST-60764</c:v>
                  </c:pt>
                  <c:pt idx="5">
                    <c:v>POST-60498</c:v>
                  </c:pt>
                  <c:pt idx="6">
                    <c:v>POST-60569</c:v>
                  </c:pt>
                  <c:pt idx="7">
                    <c:v>POST-60714</c:v>
                  </c:pt>
                  <c:pt idx="8">
                    <c:v>POST-60743</c:v>
                  </c:pt>
                  <c:pt idx="9">
                    <c:v>POST-60250</c:v>
                  </c:pt>
                </c:lvl>
              </c:multiLvlStrCache>
            </c:multiLvlStrRef>
          </c:cat>
          <c:val>
            <c:numRef>
              <c:f>Analysis!$B$102:$B$111</c:f>
              <c:numCache>
                <c:formatCode>0.00%</c:formatCode>
                <c:ptCount val="10"/>
                <c:pt idx="0">
                  <c:v>2.0089721084454847E-2</c:v>
                </c:pt>
                <c:pt idx="1">
                  <c:v>1.948051948051948E-2</c:v>
                </c:pt>
                <c:pt idx="2">
                  <c:v>1.8358531317494601E-2</c:v>
                </c:pt>
                <c:pt idx="3">
                  <c:v>1.8343093351705132E-2</c:v>
                </c:pt>
                <c:pt idx="4">
                  <c:v>1.7892046308825741E-2</c:v>
                </c:pt>
                <c:pt idx="5">
                  <c:v>1.7007706617060855E-2</c:v>
                </c:pt>
                <c:pt idx="6">
                  <c:v>1.6206896551724137E-2</c:v>
                </c:pt>
                <c:pt idx="7">
                  <c:v>1.3577606249418768E-2</c:v>
                </c:pt>
                <c:pt idx="8">
                  <c:v>1.3555787278415016E-2</c:v>
                </c:pt>
                <c:pt idx="9">
                  <c:v>1.2706313859051611E-2</c:v>
                </c:pt>
              </c:numCache>
            </c:numRef>
          </c:val>
          <c:extLst>
            <c:ext xmlns:c15="http://schemas.microsoft.com/office/drawing/2012/chart" uri="{02D57815-91ED-43cb-92C2-25804820EDAC}">
              <c15:datalabelsRange>
                <c15:f>Analysis!$B$102:$B$111</c15:f>
                <c15:dlblRangeCache>
                  <c:ptCount val="10"/>
                  <c:pt idx="0">
                    <c:v>Text</c:v>
                  </c:pt>
                  <c:pt idx="1">
                    <c:v>Image</c:v>
                  </c:pt>
                  <c:pt idx="2">
                    <c:v>Text</c:v>
                  </c:pt>
                  <c:pt idx="3">
                    <c:v>Image</c:v>
                  </c:pt>
                  <c:pt idx="4">
                    <c:v>Image</c:v>
                  </c:pt>
                  <c:pt idx="5">
                    <c:v>Video</c:v>
                  </c:pt>
                  <c:pt idx="6">
                    <c:v>Text</c:v>
                  </c:pt>
                  <c:pt idx="7">
                    <c:v>Image</c:v>
                  </c:pt>
                  <c:pt idx="8">
                    <c:v>Image</c:v>
                  </c:pt>
                  <c:pt idx="9">
                    <c:v>Text</c:v>
                  </c:pt>
                </c15:dlblRangeCache>
              </c15:datalabelsRange>
            </c:ext>
            <c:ext xmlns:c16="http://schemas.microsoft.com/office/drawing/2014/chart" uri="{C3380CC4-5D6E-409C-BE32-E72D297353CC}">
              <c16:uniqueId val="{00000014-200D-4486-9342-84972BE83DA1}"/>
            </c:ext>
          </c:extLst>
        </c:ser>
        <c:dLbls>
          <c:showLegendKey val="0"/>
          <c:showVal val="0"/>
          <c:showCatName val="0"/>
          <c:showSerName val="0"/>
          <c:showPercent val="0"/>
          <c:showBubbleSize val="0"/>
        </c:dLbls>
        <c:gapWidth val="0"/>
        <c:overlap val="50"/>
        <c:axId val="188460416"/>
        <c:axId val="290032240"/>
      </c:barChart>
      <c:catAx>
        <c:axId val="188460416"/>
        <c:scaling>
          <c:orientation val="minMax"/>
        </c:scaling>
        <c:delete val="1"/>
        <c:axPos val="l"/>
        <c:numFmt formatCode="General" sourceLinked="1"/>
        <c:majorTickMark val="none"/>
        <c:minorTickMark val="none"/>
        <c:tickLblPos val="nextTo"/>
        <c:crossAx val="290032240"/>
        <c:crosses val="autoZero"/>
        <c:auto val="1"/>
        <c:lblAlgn val="ctr"/>
        <c:lblOffset val="100"/>
        <c:noMultiLvlLbl val="0"/>
      </c:catAx>
      <c:valAx>
        <c:axId val="290032240"/>
        <c:scaling>
          <c:orientation val="minMax"/>
        </c:scaling>
        <c:delete val="1"/>
        <c:axPos val="b"/>
        <c:numFmt formatCode="0.00%" sourceLinked="1"/>
        <c:majorTickMark val="none"/>
        <c:minorTickMark val="none"/>
        <c:tickLblPos val="nextTo"/>
        <c:crossAx val="188460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[0]!SharesRange</c:f>
              <c:numCache>
                <c:formatCode>#,##0</c:formatCode>
                <c:ptCount val="998"/>
                <c:pt idx="0">
                  <c:v>188</c:v>
                </c:pt>
                <c:pt idx="1">
                  <c:v>69</c:v>
                </c:pt>
                <c:pt idx="2">
                  <c:v>238</c:v>
                </c:pt>
                <c:pt idx="3">
                  <c:v>6006</c:v>
                </c:pt>
                <c:pt idx="4">
                  <c:v>8</c:v>
                </c:pt>
                <c:pt idx="5">
                  <c:v>13</c:v>
                </c:pt>
                <c:pt idx="6">
                  <c:v>182</c:v>
                </c:pt>
                <c:pt idx="7">
                  <c:v>20</c:v>
                </c:pt>
                <c:pt idx="8">
                  <c:v>706</c:v>
                </c:pt>
                <c:pt idx="9">
                  <c:v>297</c:v>
                </c:pt>
                <c:pt idx="10">
                  <c:v>677</c:v>
                </c:pt>
                <c:pt idx="11">
                  <c:v>7463</c:v>
                </c:pt>
                <c:pt idx="12">
                  <c:v>145</c:v>
                </c:pt>
                <c:pt idx="13">
                  <c:v>89</c:v>
                </c:pt>
                <c:pt idx="14">
                  <c:v>32</c:v>
                </c:pt>
                <c:pt idx="15">
                  <c:v>143</c:v>
                </c:pt>
                <c:pt idx="16">
                  <c:v>269</c:v>
                </c:pt>
                <c:pt idx="17">
                  <c:v>68</c:v>
                </c:pt>
                <c:pt idx="18">
                  <c:v>285</c:v>
                </c:pt>
                <c:pt idx="19">
                  <c:v>9</c:v>
                </c:pt>
                <c:pt idx="20">
                  <c:v>2374</c:v>
                </c:pt>
                <c:pt idx="21">
                  <c:v>275</c:v>
                </c:pt>
                <c:pt idx="22">
                  <c:v>43</c:v>
                </c:pt>
                <c:pt idx="23">
                  <c:v>506</c:v>
                </c:pt>
                <c:pt idx="24">
                  <c:v>34</c:v>
                </c:pt>
                <c:pt idx="25">
                  <c:v>46</c:v>
                </c:pt>
                <c:pt idx="26">
                  <c:v>4580</c:v>
                </c:pt>
                <c:pt idx="27">
                  <c:v>5661</c:v>
                </c:pt>
                <c:pt idx="28">
                  <c:v>5</c:v>
                </c:pt>
                <c:pt idx="29">
                  <c:v>8257</c:v>
                </c:pt>
                <c:pt idx="30">
                  <c:v>46</c:v>
                </c:pt>
                <c:pt idx="31">
                  <c:v>289</c:v>
                </c:pt>
                <c:pt idx="32">
                  <c:v>666</c:v>
                </c:pt>
                <c:pt idx="33">
                  <c:v>184</c:v>
                </c:pt>
                <c:pt idx="34">
                  <c:v>240</c:v>
                </c:pt>
                <c:pt idx="35">
                  <c:v>176</c:v>
                </c:pt>
                <c:pt idx="36">
                  <c:v>3148</c:v>
                </c:pt>
                <c:pt idx="37">
                  <c:v>7499</c:v>
                </c:pt>
                <c:pt idx="38">
                  <c:v>6</c:v>
                </c:pt>
                <c:pt idx="39">
                  <c:v>7454</c:v>
                </c:pt>
                <c:pt idx="40">
                  <c:v>86</c:v>
                </c:pt>
                <c:pt idx="41">
                  <c:v>175</c:v>
                </c:pt>
                <c:pt idx="42">
                  <c:v>514</c:v>
                </c:pt>
                <c:pt idx="43">
                  <c:v>200</c:v>
                </c:pt>
                <c:pt idx="44">
                  <c:v>129</c:v>
                </c:pt>
                <c:pt idx="45">
                  <c:v>706</c:v>
                </c:pt>
                <c:pt idx="46">
                  <c:v>1324</c:v>
                </c:pt>
                <c:pt idx="47">
                  <c:v>9391</c:v>
                </c:pt>
                <c:pt idx="48">
                  <c:v>99</c:v>
                </c:pt>
                <c:pt idx="49">
                  <c:v>88</c:v>
                </c:pt>
                <c:pt idx="50">
                  <c:v>8</c:v>
                </c:pt>
                <c:pt idx="51">
                  <c:v>724</c:v>
                </c:pt>
                <c:pt idx="52">
                  <c:v>506</c:v>
                </c:pt>
                <c:pt idx="53">
                  <c:v>4706</c:v>
                </c:pt>
                <c:pt idx="54">
                  <c:v>142</c:v>
                </c:pt>
                <c:pt idx="55">
                  <c:v>119</c:v>
                </c:pt>
                <c:pt idx="56">
                  <c:v>9</c:v>
                </c:pt>
                <c:pt idx="57">
                  <c:v>272</c:v>
                </c:pt>
                <c:pt idx="58">
                  <c:v>12</c:v>
                </c:pt>
                <c:pt idx="59">
                  <c:v>4902</c:v>
                </c:pt>
                <c:pt idx="60">
                  <c:v>342</c:v>
                </c:pt>
                <c:pt idx="61">
                  <c:v>26</c:v>
                </c:pt>
                <c:pt idx="62">
                  <c:v>55</c:v>
                </c:pt>
                <c:pt idx="63">
                  <c:v>436</c:v>
                </c:pt>
                <c:pt idx="64">
                  <c:v>6033</c:v>
                </c:pt>
                <c:pt idx="65">
                  <c:v>43</c:v>
                </c:pt>
                <c:pt idx="66">
                  <c:v>6009</c:v>
                </c:pt>
                <c:pt idx="67">
                  <c:v>4175</c:v>
                </c:pt>
                <c:pt idx="68">
                  <c:v>53</c:v>
                </c:pt>
                <c:pt idx="69">
                  <c:v>197</c:v>
                </c:pt>
                <c:pt idx="70">
                  <c:v>37</c:v>
                </c:pt>
                <c:pt idx="71">
                  <c:v>156</c:v>
                </c:pt>
                <c:pt idx="72">
                  <c:v>27</c:v>
                </c:pt>
                <c:pt idx="73">
                  <c:v>4153</c:v>
                </c:pt>
                <c:pt idx="74">
                  <c:v>64</c:v>
                </c:pt>
                <c:pt idx="75">
                  <c:v>3892</c:v>
                </c:pt>
                <c:pt idx="76">
                  <c:v>37</c:v>
                </c:pt>
                <c:pt idx="77">
                  <c:v>347</c:v>
                </c:pt>
                <c:pt idx="78">
                  <c:v>595</c:v>
                </c:pt>
                <c:pt idx="79">
                  <c:v>253</c:v>
                </c:pt>
                <c:pt idx="80">
                  <c:v>1036</c:v>
                </c:pt>
                <c:pt idx="81">
                  <c:v>64</c:v>
                </c:pt>
                <c:pt idx="82">
                  <c:v>435</c:v>
                </c:pt>
                <c:pt idx="83">
                  <c:v>58</c:v>
                </c:pt>
                <c:pt idx="84">
                  <c:v>463</c:v>
                </c:pt>
                <c:pt idx="85">
                  <c:v>65</c:v>
                </c:pt>
                <c:pt idx="86">
                  <c:v>34</c:v>
                </c:pt>
                <c:pt idx="87">
                  <c:v>36</c:v>
                </c:pt>
                <c:pt idx="88">
                  <c:v>135</c:v>
                </c:pt>
                <c:pt idx="89">
                  <c:v>1411</c:v>
                </c:pt>
                <c:pt idx="90">
                  <c:v>329</c:v>
                </c:pt>
                <c:pt idx="91">
                  <c:v>61</c:v>
                </c:pt>
                <c:pt idx="92">
                  <c:v>421</c:v>
                </c:pt>
                <c:pt idx="93">
                  <c:v>139</c:v>
                </c:pt>
                <c:pt idx="94">
                  <c:v>849</c:v>
                </c:pt>
                <c:pt idx="95">
                  <c:v>3770</c:v>
                </c:pt>
                <c:pt idx="96">
                  <c:v>919</c:v>
                </c:pt>
                <c:pt idx="97">
                  <c:v>110</c:v>
                </c:pt>
                <c:pt idx="98">
                  <c:v>407</c:v>
                </c:pt>
                <c:pt idx="99">
                  <c:v>6</c:v>
                </c:pt>
                <c:pt idx="100">
                  <c:v>3171</c:v>
                </c:pt>
                <c:pt idx="101">
                  <c:v>10070</c:v>
                </c:pt>
                <c:pt idx="102">
                  <c:v>30</c:v>
                </c:pt>
                <c:pt idx="103">
                  <c:v>68</c:v>
                </c:pt>
                <c:pt idx="104">
                  <c:v>53</c:v>
                </c:pt>
                <c:pt idx="105">
                  <c:v>90</c:v>
                </c:pt>
                <c:pt idx="106">
                  <c:v>2381</c:v>
                </c:pt>
                <c:pt idx="107">
                  <c:v>178</c:v>
                </c:pt>
                <c:pt idx="108">
                  <c:v>159</c:v>
                </c:pt>
                <c:pt idx="109">
                  <c:v>131</c:v>
                </c:pt>
                <c:pt idx="110">
                  <c:v>159</c:v>
                </c:pt>
                <c:pt idx="111">
                  <c:v>10913</c:v>
                </c:pt>
                <c:pt idx="112">
                  <c:v>132</c:v>
                </c:pt>
                <c:pt idx="113">
                  <c:v>73</c:v>
                </c:pt>
                <c:pt idx="114">
                  <c:v>1772</c:v>
                </c:pt>
                <c:pt idx="115">
                  <c:v>3138</c:v>
                </c:pt>
                <c:pt idx="116">
                  <c:v>190</c:v>
                </c:pt>
                <c:pt idx="117">
                  <c:v>95</c:v>
                </c:pt>
                <c:pt idx="118">
                  <c:v>3</c:v>
                </c:pt>
                <c:pt idx="119">
                  <c:v>1395</c:v>
                </c:pt>
                <c:pt idx="120">
                  <c:v>233</c:v>
                </c:pt>
                <c:pt idx="121">
                  <c:v>195</c:v>
                </c:pt>
                <c:pt idx="122">
                  <c:v>628</c:v>
                </c:pt>
                <c:pt idx="123">
                  <c:v>216</c:v>
                </c:pt>
                <c:pt idx="124">
                  <c:v>107</c:v>
                </c:pt>
                <c:pt idx="125">
                  <c:v>295</c:v>
                </c:pt>
                <c:pt idx="126">
                  <c:v>219</c:v>
                </c:pt>
                <c:pt idx="127">
                  <c:v>5699</c:v>
                </c:pt>
                <c:pt idx="128">
                  <c:v>211</c:v>
                </c:pt>
                <c:pt idx="129">
                  <c:v>5883</c:v>
                </c:pt>
                <c:pt idx="130">
                  <c:v>215</c:v>
                </c:pt>
                <c:pt idx="131">
                  <c:v>194</c:v>
                </c:pt>
                <c:pt idx="132">
                  <c:v>220</c:v>
                </c:pt>
                <c:pt idx="133">
                  <c:v>26</c:v>
                </c:pt>
                <c:pt idx="134">
                  <c:v>81</c:v>
                </c:pt>
                <c:pt idx="135">
                  <c:v>1648</c:v>
                </c:pt>
                <c:pt idx="136">
                  <c:v>297</c:v>
                </c:pt>
                <c:pt idx="137">
                  <c:v>217</c:v>
                </c:pt>
                <c:pt idx="138">
                  <c:v>4114</c:v>
                </c:pt>
                <c:pt idx="139">
                  <c:v>137</c:v>
                </c:pt>
                <c:pt idx="140">
                  <c:v>93</c:v>
                </c:pt>
                <c:pt idx="141">
                  <c:v>7722</c:v>
                </c:pt>
                <c:pt idx="142">
                  <c:v>2501</c:v>
                </c:pt>
                <c:pt idx="143">
                  <c:v>3281</c:v>
                </c:pt>
                <c:pt idx="144">
                  <c:v>105</c:v>
                </c:pt>
                <c:pt idx="145">
                  <c:v>1917</c:v>
                </c:pt>
                <c:pt idx="146">
                  <c:v>9</c:v>
                </c:pt>
                <c:pt idx="147">
                  <c:v>456</c:v>
                </c:pt>
                <c:pt idx="148">
                  <c:v>230</c:v>
                </c:pt>
                <c:pt idx="149">
                  <c:v>189</c:v>
                </c:pt>
                <c:pt idx="150">
                  <c:v>483</c:v>
                </c:pt>
                <c:pt idx="151">
                  <c:v>4351</c:v>
                </c:pt>
                <c:pt idx="152">
                  <c:v>155</c:v>
                </c:pt>
                <c:pt idx="153">
                  <c:v>14</c:v>
                </c:pt>
                <c:pt idx="154">
                  <c:v>701</c:v>
                </c:pt>
                <c:pt idx="155">
                  <c:v>67</c:v>
                </c:pt>
                <c:pt idx="156">
                  <c:v>2239</c:v>
                </c:pt>
                <c:pt idx="157">
                  <c:v>6381</c:v>
                </c:pt>
                <c:pt idx="158">
                  <c:v>60</c:v>
                </c:pt>
                <c:pt idx="159">
                  <c:v>37</c:v>
                </c:pt>
                <c:pt idx="160">
                  <c:v>4</c:v>
                </c:pt>
                <c:pt idx="161">
                  <c:v>165</c:v>
                </c:pt>
                <c:pt idx="162">
                  <c:v>74</c:v>
                </c:pt>
                <c:pt idx="163">
                  <c:v>71</c:v>
                </c:pt>
                <c:pt idx="164">
                  <c:v>34</c:v>
                </c:pt>
                <c:pt idx="165">
                  <c:v>139</c:v>
                </c:pt>
                <c:pt idx="166">
                  <c:v>81</c:v>
                </c:pt>
                <c:pt idx="167">
                  <c:v>867</c:v>
                </c:pt>
                <c:pt idx="168">
                  <c:v>162</c:v>
                </c:pt>
                <c:pt idx="169">
                  <c:v>100</c:v>
                </c:pt>
                <c:pt idx="170">
                  <c:v>13</c:v>
                </c:pt>
                <c:pt idx="171">
                  <c:v>231</c:v>
                </c:pt>
                <c:pt idx="172">
                  <c:v>93</c:v>
                </c:pt>
                <c:pt idx="173">
                  <c:v>96</c:v>
                </c:pt>
                <c:pt idx="174">
                  <c:v>227</c:v>
                </c:pt>
                <c:pt idx="175">
                  <c:v>13</c:v>
                </c:pt>
                <c:pt idx="176">
                  <c:v>2216</c:v>
                </c:pt>
                <c:pt idx="177">
                  <c:v>44</c:v>
                </c:pt>
                <c:pt idx="178">
                  <c:v>73</c:v>
                </c:pt>
                <c:pt idx="179">
                  <c:v>38</c:v>
                </c:pt>
                <c:pt idx="180">
                  <c:v>89</c:v>
                </c:pt>
                <c:pt idx="181">
                  <c:v>111</c:v>
                </c:pt>
                <c:pt idx="182">
                  <c:v>224</c:v>
                </c:pt>
                <c:pt idx="183">
                  <c:v>8164</c:v>
                </c:pt>
                <c:pt idx="184">
                  <c:v>4525</c:v>
                </c:pt>
                <c:pt idx="185">
                  <c:v>35</c:v>
                </c:pt>
                <c:pt idx="186">
                  <c:v>1599</c:v>
                </c:pt>
                <c:pt idx="187">
                  <c:v>100</c:v>
                </c:pt>
                <c:pt idx="188">
                  <c:v>173</c:v>
                </c:pt>
                <c:pt idx="189">
                  <c:v>1859</c:v>
                </c:pt>
                <c:pt idx="190">
                  <c:v>52</c:v>
                </c:pt>
                <c:pt idx="191">
                  <c:v>2163</c:v>
                </c:pt>
                <c:pt idx="192">
                  <c:v>34</c:v>
                </c:pt>
                <c:pt idx="193">
                  <c:v>169</c:v>
                </c:pt>
                <c:pt idx="194">
                  <c:v>169</c:v>
                </c:pt>
                <c:pt idx="195">
                  <c:v>34</c:v>
                </c:pt>
                <c:pt idx="196">
                  <c:v>3765</c:v>
                </c:pt>
                <c:pt idx="197">
                  <c:v>68</c:v>
                </c:pt>
                <c:pt idx="198">
                  <c:v>682</c:v>
                </c:pt>
                <c:pt idx="199">
                  <c:v>6535</c:v>
                </c:pt>
                <c:pt idx="200">
                  <c:v>63</c:v>
                </c:pt>
                <c:pt idx="201">
                  <c:v>89</c:v>
                </c:pt>
                <c:pt idx="202">
                  <c:v>2127</c:v>
                </c:pt>
                <c:pt idx="203">
                  <c:v>841</c:v>
                </c:pt>
                <c:pt idx="204">
                  <c:v>15</c:v>
                </c:pt>
                <c:pt idx="205">
                  <c:v>4</c:v>
                </c:pt>
                <c:pt idx="206">
                  <c:v>5219</c:v>
                </c:pt>
                <c:pt idx="207">
                  <c:v>215</c:v>
                </c:pt>
                <c:pt idx="208">
                  <c:v>1699</c:v>
                </c:pt>
                <c:pt idx="209">
                  <c:v>94</c:v>
                </c:pt>
                <c:pt idx="210">
                  <c:v>9009</c:v>
                </c:pt>
                <c:pt idx="211">
                  <c:v>268</c:v>
                </c:pt>
                <c:pt idx="212">
                  <c:v>79</c:v>
                </c:pt>
                <c:pt idx="213">
                  <c:v>216</c:v>
                </c:pt>
                <c:pt idx="214">
                  <c:v>77</c:v>
                </c:pt>
                <c:pt idx="215">
                  <c:v>11</c:v>
                </c:pt>
                <c:pt idx="216">
                  <c:v>331</c:v>
                </c:pt>
                <c:pt idx="217">
                  <c:v>87</c:v>
                </c:pt>
                <c:pt idx="218">
                  <c:v>69</c:v>
                </c:pt>
                <c:pt idx="219">
                  <c:v>260</c:v>
                </c:pt>
                <c:pt idx="220">
                  <c:v>5670</c:v>
                </c:pt>
                <c:pt idx="221">
                  <c:v>99</c:v>
                </c:pt>
                <c:pt idx="222">
                  <c:v>5513</c:v>
                </c:pt>
                <c:pt idx="223">
                  <c:v>9</c:v>
                </c:pt>
                <c:pt idx="224">
                  <c:v>1198</c:v>
                </c:pt>
                <c:pt idx="225">
                  <c:v>112</c:v>
                </c:pt>
                <c:pt idx="226">
                  <c:v>444</c:v>
                </c:pt>
                <c:pt idx="227">
                  <c:v>291</c:v>
                </c:pt>
                <c:pt idx="228">
                  <c:v>104</c:v>
                </c:pt>
                <c:pt idx="229">
                  <c:v>98</c:v>
                </c:pt>
                <c:pt idx="230">
                  <c:v>120</c:v>
                </c:pt>
                <c:pt idx="231">
                  <c:v>131</c:v>
                </c:pt>
                <c:pt idx="232">
                  <c:v>45</c:v>
                </c:pt>
                <c:pt idx="233">
                  <c:v>73</c:v>
                </c:pt>
                <c:pt idx="234">
                  <c:v>127</c:v>
                </c:pt>
                <c:pt idx="235">
                  <c:v>302</c:v>
                </c:pt>
                <c:pt idx="236">
                  <c:v>496</c:v>
                </c:pt>
                <c:pt idx="237">
                  <c:v>1097</c:v>
                </c:pt>
                <c:pt idx="238">
                  <c:v>30</c:v>
                </c:pt>
                <c:pt idx="239">
                  <c:v>23</c:v>
                </c:pt>
                <c:pt idx="240">
                  <c:v>2855</c:v>
                </c:pt>
                <c:pt idx="241">
                  <c:v>296</c:v>
                </c:pt>
                <c:pt idx="242">
                  <c:v>3605</c:v>
                </c:pt>
                <c:pt idx="243">
                  <c:v>2443</c:v>
                </c:pt>
                <c:pt idx="244">
                  <c:v>5811</c:v>
                </c:pt>
                <c:pt idx="245">
                  <c:v>3165</c:v>
                </c:pt>
                <c:pt idx="246">
                  <c:v>61</c:v>
                </c:pt>
                <c:pt idx="247">
                  <c:v>183</c:v>
                </c:pt>
                <c:pt idx="248">
                  <c:v>54</c:v>
                </c:pt>
                <c:pt idx="249">
                  <c:v>43</c:v>
                </c:pt>
                <c:pt idx="250">
                  <c:v>115</c:v>
                </c:pt>
                <c:pt idx="251">
                  <c:v>6</c:v>
                </c:pt>
                <c:pt idx="252">
                  <c:v>143</c:v>
                </c:pt>
                <c:pt idx="253">
                  <c:v>225</c:v>
                </c:pt>
                <c:pt idx="254">
                  <c:v>155</c:v>
                </c:pt>
                <c:pt idx="255">
                  <c:v>75</c:v>
                </c:pt>
                <c:pt idx="256">
                  <c:v>17</c:v>
                </c:pt>
                <c:pt idx="257">
                  <c:v>95</c:v>
                </c:pt>
                <c:pt idx="258">
                  <c:v>330</c:v>
                </c:pt>
                <c:pt idx="259">
                  <c:v>1839</c:v>
                </c:pt>
                <c:pt idx="260">
                  <c:v>74</c:v>
                </c:pt>
                <c:pt idx="261">
                  <c:v>25</c:v>
                </c:pt>
                <c:pt idx="262">
                  <c:v>427</c:v>
                </c:pt>
                <c:pt idx="263">
                  <c:v>289</c:v>
                </c:pt>
                <c:pt idx="264">
                  <c:v>177</c:v>
                </c:pt>
                <c:pt idx="265">
                  <c:v>2947</c:v>
                </c:pt>
                <c:pt idx="266">
                  <c:v>318</c:v>
                </c:pt>
                <c:pt idx="267">
                  <c:v>260</c:v>
                </c:pt>
                <c:pt idx="268">
                  <c:v>139</c:v>
                </c:pt>
                <c:pt idx="269">
                  <c:v>16</c:v>
                </c:pt>
                <c:pt idx="270">
                  <c:v>213</c:v>
                </c:pt>
                <c:pt idx="271">
                  <c:v>1040</c:v>
                </c:pt>
                <c:pt idx="272">
                  <c:v>119</c:v>
                </c:pt>
                <c:pt idx="273">
                  <c:v>244</c:v>
                </c:pt>
                <c:pt idx="274">
                  <c:v>2336</c:v>
                </c:pt>
                <c:pt idx="275">
                  <c:v>5281</c:v>
                </c:pt>
                <c:pt idx="276">
                  <c:v>15</c:v>
                </c:pt>
                <c:pt idx="277">
                  <c:v>99</c:v>
                </c:pt>
                <c:pt idx="278">
                  <c:v>1481</c:v>
                </c:pt>
                <c:pt idx="279">
                  <c:v>1986</c:v>
                </c:pt>
                <c:pt idx="280">
                  <c:v>116</c:v>
                </c:pt>
                <c:pt idx="281">
                  <c:v>827</c:v>
                </c:pt>
                <c:pt idx="282">
                  <c:v>1119</c:v>
                </c:pt>
                <c:pt idx="283">
                  <c:v>3835</c:v>
                </c:pt>
                <c:pt idx="284">
                  <c:v>1506</c:v>
                </c:pt>
                <c:pt idx="285">
                  <c:v>17</c:v>
                </c:pt>
                <c:pt idx="286">
                  <c:v>141</c:v>
                </c:pt>
                <c:pt idx="287">
                  <c:v>167</c:v>
                </c:pt>
                <c:pt idx="288">
                  <c:v>6744</c:v>
                </c:pt>
                <c:pt idx="289">
                  <c:v>1074</c:v>
                </c:pt>
                <c:pt idx="290">
                  <c:v>1988</c:v>
                </c:pt>
                <c:pt idx="291">
                  <c:v>6109</c:v>
                </c:pt>
                <c:pt idx="292">
                  <c:v>2980</c:v>
                </c:pt>
                <c:pt idx="293">
                  <c:v>4790</c:v>
                </c:pt>
                <c:pt idx="294">
                  <c:v>20</c:v>
                </c:pt>
                <c:pt idx="295">
                  <c:v>1602</c:v>
                </c:pt>
                <c:pt idx="296">
                  <c:v>31</c:v>
                </c:pt>
                <c:pt idx="297">
                  <c:v>128</c:v>
                </c:pt>
                <c:pt idx="298">
                  <c:v>105</c:v>
                </c:pt>
                <c:pt idx="299">
                  <c:v>26</c:v>
                </c:pt>
                <c:pt idx="300">
                  <c:v>428</c:v>
                </c:pt>
                <c:pt idx="301">
                  <c:v>106</c:v>
                </c:pt>
                <c:pt idx="302">
                  <c:v>1907</c:v>
                </c:pt>
                <c:pt idx="303">
                  <c:v>126</c:v>
                </c:pt>
                <c:pt idx="304">
                  <c:v>34</c:v>
                </c:pt>
                <c:pt idx="305">
                  <c:v>141</c:v>
                </c:pt>
                <c:pt idx="306">
                  <c:v>12</c:v>
                </c:pt>
                <c:pt idx="307">
                  <c:v>202</c:v>
                </c:pt>
                <c:pt idx="308">
                  <c:v>239</c:v>
                </c:pt>
                <c:pt idx="309">
                  <c:v>3424</c:v>
                </c:pt>
                <c:pt idx="310">
                  <c:v>6666</c:v>
                </c:pt>
                <c:pt idx="311">
                  <c:v>70</c:v>
                </c:pt>
                <c:pt idx="312">
                  <c:v>3214</c:v>
                </c:pt>
                <c:pt idx="313">
                  <c:v>128</c:v>
                </c:pt>
                <c:pt idx="314">
                  <c:v>35</c:v>
                </c:pt>
                <c:pt idx="315">
                  <c:v>590</c:v>
                </c:pt>
                <c:pt idx="316">
                  <c:v>1592</c:v>
                </c:pt>
                <c:pt idx="317">
                  <c:v>92</c:v>
                </c:pt>
                <c:pt idx="318">
                  <c:v>35</c:v>
                </c:pt>
                <c:pt idx="319">
                  <c:v>103</c:v>
                </c:pt>
                <c:pt idx="320">
                  <c:v>4805</c:v>
                </c:pt>
                <c:pt idx="321">
                  <c:v>165</c:v>
                </c:pt>
                <c:pt idx="322">
                  <c:v>160</c:v>
                </c:pt>
                <c:pt idx="323">
                  <c:v>44</c:v>
                </c:pt>
                <c:pt idx="324">
                  <c:v>80</c:v>
                </c:pt>
                <c:pt idx="325">
                  <c:v>45</c:v>
                </c:pt>
                <c:pt idx="326">
                  <c:v>33</c:v>
                </c:pt>
                <c:pt idx="327">
                  <c:v>114</c:v>
                </c:pt>
                <c:pt idx="328">
                  <c:v>143</c:v>
                </c:pt>
                <c:pt idx="329">
                  <c:v>32</c:v>
                </c:pt>
                <c:pt idx="330">
                  <c:v>5564</c:v>
                </c:pt>
                <c:pt idx="331">
                  <c:v>50</c:v>
                </c:pt>
                <c:pt idx="332">
                  <c:v>191</c:v>
                </c:pt>
                <c:pt idx="333">
                  <c:v>57</c:v>
                </c:pt>
                <c:pt idx="334">
                  <c:v>126</c:v>
                </c:pt>
                <c:pt idx="335">
                  <c:v>66</c:v>
                </c:pt>
                <c:pt idx="336">
                  <c:v>2598</c:v>
                </c:pt>
                <c:pt idx="337">
                  <c:v>261</c:v>
                </c:pt>
                <c:pt idx="338">
                  <c:v>231</c:v>
                </c:pt>
                <c:pt idx="339">
                  <c:v>17</c:v>
                </c:pt>
                <c:pt idx="340">
                  <c:v>2604</c:v>
                </c:pt>
                <c:pt idx="341">
                  <c:v>78</c:v>
                </c:pt>
                <c:pt idx="342">
                  <c:v>1427</c:v>
                </c:pt>
                <c:pt idx="343">
                  <c:v>345</c:v>
                </c:pt>
                <c:pt idx="344">
                  <c:v>5666</c:v>
                </c:pt>
                <c:pt idx="345">
                  <c:v>219</c:v>
                </c:pt>
                <c:pt idx="346">
                  <c:v>1227</c:v>
                </c:pt>
                <c:pt idx="347">
                  <c:v>69</c:v>
                </c:pt>
                <c:pt idx="348">
                  <c:v>33</c:v>
                </c:pt>
                <c:pt idx="349">
                  <c:v>201</c:v>
                </c:pt>
                <c:pt idx="350">
                  <c:v>526</c:v>
                </c:pt>
                <c:pt idx="351">
                  <c:v>8</c:v>
                </c:pt>
                <c:pt idx="352">
                  <c:v>339</c:v>
                </c:pt>
                <c:pt idx="353">
                  <c:v>143</c:v>
                </c:pt>
                <c:pt idx="354">
                  <c:v>4516</c:v>
                </c:pt>
                <c:pt idx="355">
                  <c:v>2917</c:v>
                </c:pt>
                <c:pt idx="356">
                  <c:v>73</c:v>
                </c:pt>
                <c:pt idx="357">
                  <c:v>122</c:v>
                </c:pt>
                <c:pt idx="358">
                  <c:v>116</c:v>
                </c:pt>
                <c:pt idx="359">
                  <c:v>565</c:v>
                </c:pt>
                <c:pt idx="360">
                  <c:v>346</c:v>
                </c:pt>
                <c:pt idx="361">
                  <c:v>79</c:v>
                </c:pt>
                <c:pt idx="362">
                  <c:v>12263</c:v>
                </c:pt>
                <c:pt idx="363">
                  <c:v>64</c:v>
                </c:pt>
                <c:pt idx="364">
                  <c:v>24</c:v>
                </c:pt>
                <c:pt idx="365">
                  <c:v>966</c:v>
                </c:pt>
                <c:pt idx="366">
                  <c:v>110</c:v>
                </c:pt>
                <c:pt idx="367">
                  <c:v>2015</c:v>
                </c:pt>
                <c:pt idx="368">
                  <c:v>117</c:v>
                </c:pt>
                <c:pt idx="369">
                  <c:v>1470</c:v>
                </c:pt>
                <c:pt idx="370">
                  <c:v>597</c:v>
                </c:pt>
                <c:pt idx="371">
                  <c:v>499</c:v>
                </c:pt>
                <c:pt idx="372">
                  <c:v>5190</c:v>
                </c:pt>
                <c:pt idx="373">
                  <c:v>17</c:v>
                </c:pt>
                <c:pt idx="374">
                  <c:v>503</c:v>
                </c:pt>
                <c:pt idx="375">
                  <c:v>578</c:v>
                </c:pt>
                <c:pt idx="376">
                  <c:v>39</c:v>
                </c:pt>
                <c:pt idx="377">
                  <c:v>3416</c:v>
                </c:pt>
                <c:pt idx="378">
                  <c:v>4420</c:v>
                </c:pt>
                <c:pt idx="379">
                  <c:v>249</c:v>
                </c:pt>
                <c:pt idx="380">
                  <c:v>13325</c:v>
                </c:pt>
                <c:pt idx="381">
                  <c:v>149</c:v>
                </c:pt>
                <c:pt idx="382">
                  <c:v>4347</c:v>
                </c:pt>
                <c:pt idx="383">
                  <c:v>120</c:v>
                </c:pt>
                <c:pt idx="384">
                  <c:v>1427</c:v>
                </c:pt>
                <c:pt idx="385">
                  <c:v>55</c:v>
                </c:pt>
                <c:pt idx="386">
                  <c:v>279</c:v>
                </c:pt>
                <c:pt idx="387">
                  <c:v>76</c:v>
                </c:pt>
                <c:pt idx="388">
                  <c:v>213</c:v>
                </c:pt>
                <c:pt idx="389">
                  <c:v>65</c:v>
                </c:pt>
                <c:pt idx="390">
                  <c:v>55</c:v>
                </c:pt>
                <c:pt idx="391">
                  <c:v>31</c:v>
                </c:pt>
                <c:pt idx="392">
                  <c:v>160</c:v>
                </c:pt>
                <c:pt idx="393">
                  <c:v>84</c:v>
                </c:pt>
                <c:pt idx="394">
                  <c:v>126</c:v>
                </c:pt>
                <c:pt idx="395">
                  <c:v>19</c:v>
                </c:pt>
                <c:pt idx="396">
                  <c:v>290</c:v>
                </c:pt>
                <c:pt idx="397">
                  <c:v>66</c:v>
                </c:pt>
                <c:pt idx="398">
                  <c:v>89</c:v>
                </c:pt>
                <c:pt idx="399">
                  <c:v>16</c:v>
                </c:pt>
                <c:pt idx="400">
                  <c:v>41</c:v>
                </c:pt>
                <c:pt idx="401">
                  <c:v>1806</c:v>
                </c:pt>
                <c:pt idx="402">
                  <c:v>40</c:v>
                </c:pt>
                <c:pt idx="403">
                  <c:v>573</c:v>
                </c:pt>
                <c:pt idx="404">
                  <c:v>47</c:v>
                </c:pt>
                <c:pt idx="405">
                  <c:v>87</c:v>
                </c:pt>
                <c:pt idx="406">
                  <c:v>822</c:v>
                </c:pt>
                <c:pt idx="407">
                  <c:v>172</c:v>
                </c:pt>
                <c:pt idx="408">
                  <c:v>124</c:v>
                </c:pt>
                <c:pt idx="409">
                  <c:v>116</c:v>
                </c:pt>
                <c:pt idx="410">
                  <c:v>453</c:v>
                </c:pt>
                <c:pt idx="411">
                  <c:v>352</c:v>
                </c:pt>
                <c:pt idx="412">
                  <c:v>360</c:v>
                </c:pt>
                <c:pt idx="413">
                  <c:v>254</c:v>
                </c:pt>
                <c:pt idx="414">
                  <c:v>145</c:v>
                </c:pt>
                <c:pt idx="415">
                  <c:v>3</c:v>
                </c:pt>
                <c:pt idx="416">
                  <c:v>1520</c:v>
                </c:pt>
                <c:pt idx="417">
                  <c:v>100</c:v>
                </c:pt>
                <c:pt idx="418">
                  <c:v>36</c:v>
                </c:pt>
                <c:pt idx="419">
                  <c:v>356</c:v>
                </c:pt>
                <c:pt idx="420">
                  <c:v>541</c:v>
                </c:pt>
                <c:pt idx="421">
                  <c:v>2855</c:v>
                </c:pt>
                <c:pt idx="422">
                  <c:v>243</c:v>
                </c:pt>
                <c:pt idx="423">
                  <c:v>3788</c:v>
                </c:pt>
                <c:pt idx="424">
                  <c:v>16</c:v>
                </c:pt>
                <c:pt idx="425">
                  <c:v>205</c:v>
                </c:pt>
                <c:pt idx="426">
                  <c:v>278</c:v>
                </c:pt>
                <c:pt idx="427">
                  <c:v>184</c:v>
                </c:pt>
                <c:pt idx="428">
                  <c:v>331</c:v>
                </c:pt>
                <c:pt idx="429">
                  <c:v>79</c:v>
                </c:pt>
                <c:pt idx="430">
                  <c:v>16</c:v>
                </c:pt>
                <c:pt idx="431">
                  <c:v>26</c:v>
                </c:pt>
                <c:pt idx="432">
                  <c:v>152</c:v>
                </c:pt>
                <c:pt idx="433">
                  <c:v>183</c:v>
                </c:pt>
                <c:pt idx="434">
                  <c:v>443</c:v>
                </c:pt>
                <c:pt idx="435">
                  <c:v>43</c:v>
                </c:pt>
                <c:pt idx="436">
                  <c:v>44</c:v>
                </c:pt>
                <c:pt idx="437">
                  <c:v>189</c:v>
                </c:pt>
                <c:pt idx="438">
                  <c:v>50</c:v>
                </c:pt>
                <c:pt idx="439">
                  <c:v>292</c:v>
                </c:pt>
                <c:pt idx="440">
                  <c:v>36</c:v>
                </c:pt>
                <c:pt idx="441">
                  <c:v>5323</c:v>
                </c:pt>
                <c:pt idx="442">
                  <c:v>1487</c:v>
                </c:pt>
                <c:pt idx="443">
                  <c:v>3594</c:v>
                </c:pt>
                <c:pt idx="444">
                  <c:v>79</c:v>
                </c:pt>
                <c:pt idx="445">
                  <c:v>174</c:v>
                </c:pt>
                <c:pt idx="446">
                  <c:v>3760</c:v>
                </c:pt>
                <c:pt idx="447">
                  <c:v>12</c:v>
                </c:pt>
                <c:pt idx="448">
                  <c:v>36</c:v>
                </c:pt>
                <c:pt idx="449">
                  <c:v>149</c:v>
                </c:pt>
                <c:pt idx="450">
                  <c:v>93</c:v>
                </c:pt>
                <c:pt idx="451">
                  <c:v>60</c:v>
                </c:pt>
                <c:pt idx="452">
                  <c:v>100</c:v>
                </c:pt>
                <c:pt idx="453">
                  <c:v>240</c:v>
                </c:pt>
                <c:pt idx="454">
                  <c:v>1763</c:v>
                </c:pt>
                <c:pt idx="455">
                  <c:v>46</c:v>
                </c:pt>
                <c:pt idx="456">
                  <c:v>80</c:v>
                </c:pt>
                <c:pt idx="457">
                  <c:v>156</c:v>
                </c:pt>
                <c:pt idx="458">
                  <c:v>87</c:v>
                </c:pt>
                <c:pt idx="459">
                  <c:v>87</c:v>
                </c:pt>
                <c:pt idx="460">
                  <c:v>28</c:v>
                </c:pt>
                <c:pt idx="461">
                  <c:v>1165</c:v>
                </c:pt>
                <c:pt idx="462">
                  <c:v>147</c:v>
                </c:pt>
                <c:pt idx="463">
                  <c:v>84</c:v>
                </c:pt>
                <c:pt idx="464">
                  <c:v>6567</c:v>
                </c:pt>
                <c:pt idx="465">
                  <c:v>3479</c:v>
                </c:pt>
                <c:pt idx="466">
                  <c:v>63</c:v>
                </c:pt>
                <c:pt idx="467">
                  <c:v>11817</c:v>
                </c:pt>
                <c:pt idx="468">
                  <c:v>133</c:v>
                </c:pt>
                <c:pt idx="469">
                  <c:v>59</c:v>
                </c:pt>
                <c:pt idx="470">
                  <c:v>160</c:v>
                </c:pt>
                <c:pt idx="471">
                  <c:v>465</c:v>
                </c:pt>
                <c:pt idx="472">
                  <c:v>253</c:v>
                </c:pt>
                <c:pt idx="473">
                  <c:v>4182</c:v>
                </c:pt>
                <c:pt idx="474">
                  <c:v>27</c:v>
                </c:pt>
                <c:pt idx="475">
                  <c:v>71</c:v>
                </c:pt>
                <c:pt idx="476">
                  <c:v>409</c:v>
                </c:pt>
                <c:pt idx="477">
                  <c:v>81</c:v>
                </c:pt>
                <c:pt idx="478">
                  <c:v>30</c:v>
                </c:pt>
                <c:pt idx="479">
                  <c:v>55</c:v>
                </c:pt>
                <c:pt idx="480">
                  <c:v>165</c:v>
                </c:pt>
                <c:pt idx="481">
                  <c:v>135</c:v>
                </c:pt>
                <c:pt idx="482">
                  <c:v>79</c:v>
                </c:pt>
                <c:pt idx="483">
                  <c:v>153</c:v>
                </c:pt>
                <c:pt idx="484">
                  <c:v>9</c:v>
                </c:pt>
                <c:pt idx="485">
                  <c:v>1550</c:v>
                </c:pt>
                <c:pt idx="486">
                  <c:v>100</c:v>
                </c:pt>
                <c:pt idx="487">
                  <c:v>3674</c:v>
                </c:pt>
                <c:pt idx="488">
                  <c:v>28</c:v>
                </c:pt>
                <c:pt idx="489">
                  <c:v>33</c:v>
                </c:pt>
                <c:pt idx="490">
                  <c:v>7584</c:v>
                </c:pt>
                <c:pt idx="491">
                  <c:v>6734</c:v>
                </c:pt>
                <c:pt idx="492">
                  <c:v>93</c:v>
                </c:pt>
                <c:pt idx="493">
                  <c:v>269</c:v>
                </c:pt>
                <c:pt idx="494">
                  <c:v>207</c:v>
                </c:pt>
                <c:pt idx="495">
                  <c:v>54</c:v>
                </c:pt>
                <c:pt idx="496">
                  <c:v>124</c:v>
                </c:pt>
                <c:pt idx="497">
                  <c:v>40</c:v>
                </c:pt>
                <c:pt idx="498">
                  <c:v>175</c:v>
                </c:pt>
                <c:pt idx="499">
                  <c:v>480</c:v>
                </c:pt>
                <c:pt idx="500">
                  <c:v>68</c:v>
                </c:pt>
                <c:pt idx="501">
                  <c:v>5</c:v>
                </c:pt>
                <c:pt idx="502">
                  <c:v>243</c:v>
                </c:pt>
                <c:pt idx="503">
                  <c:v>93</c:v>
                </c:pt>
                <c:pt idx="504">
                  <c:v>162</c:v>
                </c:pt>
                <c:pt idx="505">
                  <c:v>224</c:v>
                </c:pt>
                <c:pt idx="506">
                  <c:v>217</c:v>
                </c:pt>
                <c:pt idx="507">
                  <c:v>112</c:v>
                </c:pt>
                <c:pt idx="508">
                  <c:v>161</c:v>
                </c:pt>
                <c:pt idx="509">
                  <c:v>613</c:v>
                </c:pt>
                <c:pt idx="510">
                  <c:v>25</c:v>
                </c:pt>
                <c:pt idx="511">
                  <c:v>158</c:v>
                </c:pt>
                <c:pt idx="512">
                  <c:v>28</c:v>
                </c:pt>
                <c:pt idx="513">
                  <c:v>57</c:v>
                </c:pt>
                <c:pt idx="514">
                  <c:v>2936</c:v>
                </c:pt>
                <c:pt idx="515">
                  <c:v>64</c:v>
                </c:pt>
                <c:pt idx="516">
                  <c:v>32</c:v>
                </c:pt>
                <c:pt idx="517">
                  <c:v>57</c:v>
                </c:pt>
                <c:pt idx="518">
                  <c:v>186</c:v>
                </c:pt>
                <c:pt idx="519">
                  <c:v>32</c:v>
                </c:pt>
                <c:pt idx="520">
                  <c:v>67</c:v>
                </c:pt>
                <c:pt idx="521">
                  <c:v>443</c:v>
                </c:pt>
                <c:pt idx="522">
                  <c:v>51</c:v>
                </c:pt>
                <c:pt idx="523">
                  <c:v>785</c:v>
                </c:pt>
                <c:pt idx="524">
                  <c:v>495</c:v>
                </c:pt>
                <c:pt idx="525">
                  <c:v>9983</c:v>
                </c:pt>
                <c:pt idx="526">
                  <c:v>636</c:v>
                </c:pt>
                <c:pt idx="527">
                  <c:v>4</c:v>
                </c:pt>
                <c:pt idx="528">
                  <c:v>2188</c:v>
                </c:pt>
                <c:pt idx="529">
                  <c:v>97</c:v>
                </c:pt>
                <c:pt idx="530">
                  <c:v>103</c:v>
                </c:pt>
                <c:pt idx="531">
                  <c:v>50</c:v>
                </c:pt>
                <c:pt idx="532">
                  <c:v>28</c:v>
                </c:pt>
                <c:pt idx="533">
                  <c:v>5353</c:v>
                </c:pt>
                <c:pt idx="534">
                  <c:v>145</c:v>
                </c:pt>
                <c:pt idx="535">
                  <c:v>2634</c:v>
                </c:pt>
                <c:pt idx="536">
                  <c:v>235</c:v>
                </c:pt>
                <c:pt idx="537">
                  <c:v>79</c:v>
                </c:pt>
                <c:pt idx="538">
                  <c:v>240</c:v>
                </c:pt>
                <c:pt idx="539">
                  <c:v>54</c:v>
                </c:pt>
                <c:pt idx="540">
                  <c:v>1133</c:v>
                </c:pt>
                <c:pt idx="541">
                  <c:v>46</c:v>
                </c:pt>
                <c:pt idx="542">
                  <c:v>92</c:v>
                </c:pt>
                <c:pt idx="543">
                  <c:v>474</c:v>
                </c:pt>
                <c:pt idx="544">
                  <c:v>45</c:v>
                </c:pt>
                <c:pt idx="545">
                  <c:v>85</c:v>
                </c:pt>
                <c:pt idx="546">
                  <c:v>323</c:v>
                </c:pt>
                <c:pt idx="547">
                  <c:v>156</c:v>
                </c:pt>
                <c:pt idx="548">
                  <c:v>450</c:v>
                </c:pt>
                <c:pt idx="549">
                  <c:v>4138</c:v>
                </c:pt>
                <c:pt idx="550">
                  <c:v>194</c:v>
                </c:pt>
                <c:pt idx="551">
                  <c:v>6680</c:v>
                </c:pt>
                <c:pt idx="552">
                  <c:v>3031</c:v>
                </c:pt>
                <c:pt idx="553">
                  <c:v>354</c:v>
                </c:pt>
                <c:pt idx="554">
                  <c:v>2353</c:v>
                </c:pt>
                <c:pt idx="555">
                  <c:v>3817</c:v>
                </c:pt>
                <c:pt idx="556">
                  <c:v>27</c:v>
                </c:pt>
                <c:pt idx="557">
                  <c:v>511</c:v>
                </c:pt>
                <c:pt idx="558">
                  <c:v>97</c:v>
                </c:pt>
                <c:pt idx="559">
                  <c:v>980</c:v>
                </c:pt>
                <c:pt idx="560">
                  <c:v>2913</c:v>
                </c:pt>
                <c:pt idx="561">
                  <c:v>19</c:v>
                </c:pt>
                <c:pt idx="562">
                  <c:v>1251</c:v>
                </c:pt>
                <c:pt idx="563">
                  <c:v>23</c:v>
                </c:pt>
                <c:pt idx="564">
                  <c:v>1254</c:v>
                </c:pt>
                <c:pt idx="565">
                  <c:v>73</c:v>
                </c:pt>
                <c:pt idx="566">
                  <c:v>2658</c:v>
                </c:pt>
                <c:pt idx="567">
                  <c:v>278</c:v>
                </c:pt>
                <c:pt idx="568">
                  <c:v>32</c:v>
                </c:pt>
                <c:pt idx="569">
                  <c:v>61</c:v>
                </c:pt>
                <c:pt idx="570">
                  <c:v>12</c:v>
                </c:pt>
                <c:pt idx="571">
                  <c:v>2</c:v>
                </c:pt>
                <c:pt idx="572">
                  <c:v>49</c:v>
                </c:pt>
                <c:pt idx="573">
                  <c:v>10</c:v>
                </c:pt>
                <c:pt idx="574">
                  <c:v>59</c:v>
                </c:pt>
                <c:pt idx="575">
                  <c:v>558</c:v>
                </c:pt>
                <c:pt idx="576">
                  <c:v>142</c:v>
                </c:pt>
                <c:pt idx="577">
                  <c:v>278</c:v>
                </c:pt>
                <c:pt idx="578">
                  <c:v>412</c:v>
                </c:pt>
                <c:pt idx="579">
                  <c:v>33</c:v>
                </c:pt>
                <c:pt idx="580">
                  <c:v>1608</c:v>
                </c:pt>
                <c:pt idx="581">
                  <c:v>105</c:v>
                </c:pt>
                <c:pt idx="582">
                  <c:v>29</c:v>
                </c:pt>
                <c:pt idx="583">
                  <c:v>1566</c:v>
                </c:pt>
                <c:pt idx="584">
                  <c:v>85</c:v>
                </c:pt>
                <c:pt idx="585">
                  <c:v>83</c:v>
                </c:pt>
                <c:pt idx="586">
                  <c:v>2854</c:v>
                </c:pt>
                <c:pt idx="587">
                  <c:v>144</c:v>
                </c:pt>
                <c:pt idx="588">
                  <c:v>1698</c:v>
                </c:pt>
                <c:pt idx="589">
                  <c:v>198</c:v>
                </c:pt>
                <c:pt idx="590">
                  <c:v>4949</c:v>
                </c:pt>
                <c:pt idx="591">
                  <c:v>1327</c:v>
                </c:pt>
                <c:pt idx="592">
                  <c:v>36</c:v>
                </c:pt>
                <c:pt idx="593">
                  <c:v>11</c:v>
                </c:pt>
                <c:pt idx="594">
                  <c:v>102</c:v>
                </c:pt>
                <c:pt idx="595">
                  <c:v>29</c:v>
                </c:pt>
                <c:pt idx="596">
                  <c:v>188</c:v>
                </c:pt>
                <c:pt idx="597">
                  <c:v>134</c:v>
                </c:pt>
                <c:pt idx="598">
                  <c:v>20</c:v>
                </c:pt>
                <c:pt idx="599">
                  <c:v>16</c:v>
                </c:pt>
                <c:pt idx="600">
                  <c:v>34</c:v>
                </c:pt>
                <c:pt idx="601">
                  <c:v>183</c:v>
                </c:pt>
                <c:pt idx="602">
                  <c:v>805</c:v>
                </c:pt>
                <c:pt idx="603">
                  <c:v>575</c:v>
                </c:pt>
                <c:pt idx="604">
                  <c:v>34</c:v>
                </c:pt>
                <c:pt idx="605">
                  <c:v>74</c:v>
                </c:pt>
                <c:pt idx="606">
                  <c:v>6677</c:v>
                </c:pt>
                <c:pt idx="607">
                  <c:v>332</c:v>
                </c:pt>
                <c:pt idx="608">
                  <c:v>2464</c:v>
                </c:pt>
                <c:pt idx="609">
                  <c:v>126</c:v>
                </c:pt>
                <c:pt idx="610">
                  <c:v>126</c:v>
                </c:pt>
                <c:pt idx="611">
                  <c:v>159</c:v>
                </c:pt>
                <c:pt idx="612">
                  <c:v>16</c:v>
                </c:pt>
                <c:pt idx="613">
                  <c:v>8458</c:v>
                </c:pt>
                <c:pt idx="614">
                  <c:v>2027</c:v>
                </c:pt>
                <c:pt idx="615">
                  <c:v>228</c:v>
                </c:pt>
                <c:pt idx="616">
                  <c:v>59</c:v>
                </c:pt>
                <c:pt idx="617">
                  <c:v>7693</c:v>
                </c:pt>
                <c:pt idx="618">
                  <c:v>90</c:v>
                </c:pt>
                <c:pt idx="619">
                  <c:v>63</c:v>
                </c:pt>
                <c:pt idx="620">
                  <c:v>53</c:v>
                </c:pt>
                <c:pt idx="621">
                  <c:v>71</c:v>
                </c:pt>
                <c:pt idx="622">
                  <c:v>1646</c:v>
                </c:pt>
                <c:pt idx="623">
                  <c:v>30</c:v>
                </c:pt>
                <c:pt idx="624">
                  <c:v>237</c:v>
                </c:pt>
                <c:pt idx="625">
                  <c:v>142</c:v>
                </c:pt>
                <c:pt idx="626">
                  <c:v>197</c:v>
                </c:pt>
                <c:pt idx="627">
                  <c:v>128</c:v>
                </c:pt>
                <c:pt idx="628">
                  <c:v>284</c:v>
                </c:pt>
                <c:pt idx="629">
                  <c:v>155</c:v>
                </c:pt>
                <c:pt idx="630">
                  <c:v>107</c:v>
                </c:pt>
                <c:pt idx="631">
                  <c:v>210</c:v>
                </c:pt>
                <c:pt idx="632">
                  <c:v>53</c:v>
                </c:pt>
                <c:pt idx="633">
                  <c:v>155</c:v>
                </c:pt>
                <c:pt idx="634">
                  <c:v>20</c:v>
                </c:pt>
                <c:pt idx="635">
                  <c:v>84</c:v>
                </c:pt>
                <c:pt idx="636">
                  <c:v>11</c:v>
                </c:pt>
                <c:pt idx="637">
                  <c:v>5279</c:v>
                </c:pt>
                <c:pt idx="638">
                  <c:v>120</c:v>
                </c:pt>
                <c:pt idx="639">
                  <c:v>371</c:v>
                </c:pt>
                <c:pt idx="640">
                  <c:v>108</c:v>
                </c:pt>
                <c:pt idx="641">
                  <c:v>471</c:v>
                </c:pt>
                <c:pt idx="642">
                  <c:v>71</c:v>
                </c:pt>
                <c:pt idx="643">
                  <c:v>75</c:v>
                </c:pt>
                <c:pt idx="644">
                  <c:v>10</c:v>
                </c:pt>
                <c:pt idx="645">
                  <c:v>160</c:v>
                </c:pt>
                <c:pt idx="646">
                  <c:v>4943</c:v>
                </c:pt>
                <c:pt idx="647">
                  <c:v>5</c:v>
                </c:pt>
                <c:pt idx="648">
                  <c:v>146</c:v>
                </c:pt>
                <c:pt idx="649">
                  <c:v>92</c:v>
                </c:pt>
                <c:pt idx="650">
                  <c:v>194</c:v>
                </c:pt>
                <c:pt idx="651">
                  <c:v>24</c:v>
                </c:pt>
                <c:pt idx="652">
                  <c:v>73</c:v>
                </c:pt>
                <c:pt idx="653">
                  <c:v>88</c:v>
                </c:pt>
                <c:pt idx="654">
                  <c:v>133</c:v>
                </c:pt>
                <c:pt idx="655">
                  <c:v>2176</c:v>
                </c:pt>
                <c:pt idx="656">
                  <c:v>5655</c:v>
                </c:pt>
                <c:pt idx="657">
                  <c:v>27</c:v>
                </c:pt>
                <c:pt idx="658">
                  <c:v>67</c:v>
                </c:pt>
                <c:pt idx="659">
                  <c:v>1588</c:v>
                </c:pt>
                <c:pt idx="660">
                  <c:v>137</c:v>
                </c:pt>
                <c:pt idx="661">
                  <c:v>122</c:v>
                </c:pt>
                <c:pt idx="662">
                  <c:v>69</c:v>
                </c:pt>
                <c:pt idx="663">
                  <c:v>1756</c:v>
                </c:pt>
                <c:pt idx="664">
                  <c:v>54</c:v>
                </c:pt>
                <c:pt idx="665">
                  <c:v>1046</c:v>
                </c:pt>
                <c:pt idx="666">
                  <c:v>96</c:v>
                </c:pt>
                <c:pt idx="667">
                  <c:v>445</c:v>
                </c:pt>
                <c:pt idx="668">
                  <c:v>245</c:v>
                </c:pt>
                <c:pt idx="669">
                  <c:v>3180</c:v>
                </c:pt>
                <c:pt idx="670">
                  <c:v>4652</c:v>
                </c:pt>
                <c:pt idx="671">
                  <c:v>139</c:v>
                </c:pt>
                <c:pt idx="672">
                  <c:v>206</c:v>
                </c:pt>
                <c:pt idx="673">
                  <c:v>19</c:v>
                </c:pt>
                <c:pt idx="674">
                  <c:v>38</c:v>
                </c:pt>
                <c:pt idx="675">
                  <c:v>211</c:v>
                </c:pt>
                <c:pt idx="676">
                  <c:v>4341</c:v>
                </c:pt>
                <c:pt idx="677">
                  <c:v>33</c:v>
                </c:pt>
                <c:pt idx="678">
                  <c:v>826</c:v>
                </c:pt>
                <c:pt idx="679">
                  <c:v>47</c:v>
                </c:pt>
                <c:pt idx="680">
                  <c:v>221</c:v>
                </c:pt>
                <c:pt idx="681">
                  <c:v>205</c:v>
                </c:pt>
                <c:pt idx="682">
                  <c:v>54</c:v>
                </c:pt>
                <c:pt idx="683">
                  <c:v>55</c:v>
                </c:pt>
                <c:pt idx="684">
                  <c:v>148</c:v>
                </c:pt>
                <c:pt idx="685">
                  <c:v>55</c:v>
                </c:pt>
                <c:pt idx="686">
                  <c:v>7</c:v>
                </c:pt>
                <c:pt idx="687">
                  <c:v>1705</c:v>
                </c:pt>
                <c:pt idx="688">
                  <c:v>144</c:v>
                </c:pt>
                <c:pt idx="689">
                  <c:v>6</c:v>
                </c:pt>
                <c:pt idx="690">
                  <c:v>232</c:v>
                </c:pt>
                <c:pt idx="691">
                  <c:v>104</c:v>
                </c:pt>
                <c:pt idx="692">
                  <c:v>17</c:v>
                </c:pt>
                <c:pt idx="693">
                  <c:v>194</c:v>
                </c:pt>
                <c:pt idx="694">
                  <c:v>101</c:v>
                </c:pt>
                <c:pt idx="695">
                  <c:v>167</c:v>
                </c:pt>
                <c:pt idx="696">
                  <c:v>177</c:v>
                </c:pt>
                <c:pt idx="697">
                  <c:v>136</c:v>
                </c:pt>
                <c:pt idx="698">
                  <c:v>2718</c:v>
                </c:pt>
                <c:pt idx="699">
                  <c:v>14</c:v>
                </c:pt>
                <c:pt idx="700">
                  <c:v>2101</c:v>
                </c:pt>
                <c:pt idx="701">
                  <c:v>1317</c:v>
                </c:pt>
                <c:pt idx="702">
                  <c:v>15</c:v>
                </c:pt>
                <c:pt idx="703">
                  <c:v>91</c:v>
                </c:pt>
                <c:pt idx="704">
                  <c:v>16</c:v>
                </c:pt>
                <c:pt idx="705">
                  <c:v>12</c:v>
                </c:pt>
                <c:pt idx="706">
                  <c:v>48</c:v>
                </c:pt>
                <c:pt idx="707">
                  <c:v>88</c:v>
                </c:pt>
                <c:pt idx="708">
                  <c:v>295</c:v>
                </c:pt>
                <c:pt idx="709">
                  <c:v>145</c:v>
                </c:pt>
                <c:pt idx="710">
                  <c:v>135</c:v>
                </c:pt>
                <c:pt idx="711">
                  <c:v>100</c:v>
                </c:pt>
                <c:pt idx="712">
                  <c:v>213</c:v>
                </c:pt>
                <c:pt idx="713">
                  <c:v>43</c:v>
                </c:pt>
                <c:pt idx="714">
                  <c:v>17</c:v>
                </c:pt>
                <c:pt idx="715">
                  <c:v>76</c:v>
                </c:pt>
                <c:pt idx="716">
                  <c:v>156</c:v>
                </c:pt>
                <c:pt idx="717">
                  <c:v>18</c:v>
                </c:pt>
                <c:pt idx="718">
                  <c:v>388</c:v>
                </c:pt>
                <c:pt idx="719">
                  <c:v>169</c:v>
                </c:pt>
                <c:pt idx="720">
                  <c:v>445</c:v>
                </c:pt>
                <c:pt idx="721">
                  <c:v>69</c:v>
                </c:pt>
                <c:pt idx="722">
                  <c:v>23</c:v>
                </c:pt>
                <c:pt idx="723">
                  <c:v>105</c:v>
                </c:pt>
                <c:pt idx="724">
                  <c:v>519</c:v>
                </c:pt>
                <c:pt idx="725">
                  <c:v>17</c:v>
                </c:pt>
                <c:pt idx="726">
                  <c:v>2444</c:v>
                </c:pt>
                <c:pt idx="727">
                  <c:v>58</c:v>
                </c:pt>
                <c:pt idx="728">
                  <c:v>474</c:v>
                </c:pt>
                <c:pt idx="729">
                  <c:v>141</c:v>
                </c:pt>
                <c:pt idx="730">
                  <c:v>2589</c:v>
                </c:pt>
                <c:pt idx="731">
                  <c:v>10832</c:v>
                </c:pt>
                <c:pt idx="732">
                  <c:v>203</c:v>
                </c:pt>
                <c:pt idx="733">
                  <c:v>9574</c:v>
                </c:pt>
                <c:pt idx="734">
                  <c:v>2192</c:v>
                </c:pt>
                <c:pt idx="735">
                  <c:v>51</c:v>
                </c:pt>
                <c:pt idx="736">
                  <c:v>55</c:v>
                </c:pt>
                <c:pt idx="737">
                  <c:v>37</c:v>
                </c:pt>
                <c:pt idx="738">
                  <c:v>161</c:v>
                </c:pt>
                <c:pt idx="739">
                  <c:v>185</c:v>
                </c:pt>
                <c:pt idx="740">
                  <c:v>16</c:v>
                </c:pt>
                <c:pt idx="741">
                  <c:v>101</c:v>
                </c:pt>
                <c:pt idx="742">
                  <c:v>23</c:v>
                </c:pt>
                <c:pt idx="743">
                  <c:v>166</c:v>
                </c:pt>
                <c:pt idx="744">
                  <c:v>12</c:v>
                </c:pt>
                <c:pt idx="745">
                  <c:v>1108</c:v>
                </c:pt>
                <c:pt idx="746">
                  <c:v>403</c:v>
                </c:pt>
                <c:pt idx="747">
                  <c:v>17</c:v>
                </c:pt>
                <c:pt idx="748">
                  <c:v>454</c:v>
                </c:pt>
                <c:pt idx="749">
                  <c:v>195</c:v>
                </c:pt>
                <c:pt idx="750">
                  <c:v>81</c:v>
                </c:pt>
                <c:pt idx="751">
                  <c:v>5392</c:v>
                </c:pt>
                <c:pt idx="752">
                  <c:v>298</c:v>
                </c:pt>
                <c:pt idx="753">
                  <c:v>430</c:v>
                </c:pt>
                <c:pt idx="754">
                  <c:v>27</c:v>
                </c:pt>
                <c:pt idx="755">
                  <c:v>65</c:v>
                </c:pt>
                <c:pt idx="756">
                  <c:v>84</c:v>
                </c:pt>
                <c:pt idx="757">
                  <c:v>160</c:v>
                </c:pt>
                <c:pt idx="758">
                  <c:v>57</c:v>
                </c:pt>
                <c:pt idx="759">
                  <c:v>63</c:v>
                </c:pt>
                <c:pt idx="760">
                  <c:v>3187</c:v>
                </c:pt>
                <c:pt idx="761">
                  <c:v>1334</c:v>
                </c:pt>
                <c:pt idx="762">
                  <c:v>72</c:v>
                </c:pt>
                <c:pt idx="763">
                  <c:v>31</c:v>
                </c:pt>
                <c:pt idx="764">
                  <c:v>656</c:v>
                </c:pt>
                <c:pt idx="765">
                  <c:v>72</c:v>
                </c:pt>
                <c:pt idx="766">
                  <c:v>90</c:v>
                </c:pt>
                <c:pt idx="767">
                  <c:v>91</c:v>
                </c:pt>
                <c:pt idx="768">
                  <c:v>234</c:v>
                </c:pt>
                <c:pt idx="769">
                  <c:v>6584</c:v>
                </c:pt>
                <c:pt idx="770">
                  <c:v>11</c:v>
                </c:pt>
                <c:pt idx="771">
                  <c:v>63</c:v>
                </c:pt>
                <c:pt idx="772">
                  <c:v>42</c:v>
                </c:pt>
                <c:pt idx="773">
                  <c:v>524</c:v>
                </c:pt>
                <c:pt idx="774">
                  <c:v>34</c:v>
                </c:pt>
                <c:pt idx="775">
                  <c:v>154</c:v>
                </c:pt>
                <c:pt idx="776">
                  <c:v>215</c:v>
                </c:pt>
                <c:pt idx="777">
                  <c:v>3810</c:v>
                </c:pt>
                <c:pt idx="778">
                  <c:v>73</c:v>
                </c:pt>
                <c:pt idx="779">
                  <c:v>9831</c:v>
                </c:pt>
                <c:pt idx="780">
                  <c:v>134</c:v>
                </c:pt>
                <c:pt idx="781">
                  <c:v>84</c:v>
                </c:pt>
                <c:pt idx="782">
                  <c:v>249</c:v>
                </c:pt>
                <c:pt idx="783">
                  <c:v>306</c:v>
                </c:pt>
                <c:pt idx="784">
                  <c:v>357</c:v>
                </c:pt>
                <c:pt idx="785">
                  <c:v>1513</c:v>
                </c:pt>
                <c:pt idx="786">
                  <c:v>114</c:v>
                </c:pt>
                <c:pt idx="787">
                  <c:v>8146</c:v>
                </c:pt>
                <c:pt idx="788">
                  <c:v>3701</c:v>
                </c:pt>
                <c:pt idx="789">
                  <c:v>318</c:v>
                </c:pt>
                <c:pt idx="790">
                  <c:v>515</c:v>
                </c:pt>
                <c:pt idx="791">
                  <c:v>324</c:v>
                </c:pt>
                <c:pt idx="792">
                  <c:v>157</c:v>
                </c:pt>
                <c:pt idx="793">
                  <c:v>4597</c:v>
                </c:pt>
                <c:pt idx="794">
                  <c:v>259</c:v>
                </c:pt>
                <c:pt idx="795">
                  <c:v>131</c:v>
                </c:pt>
                <c:pt idx="796">
                  <c:v>64</c:v>
                </c:pt>
                <c:pt idx="797">
                  <c:v>150</c:v>
                </c:pt>
                <c:pt idx="798">
                  <c:v>178</c:v>
                </c:pt>
                <c:pt idx="799">
                  <c:v>245</c:v>
                </c:pt>
                <c:pt idx="800">
                  <c:v>47</c:v>
                </c:pt>
                <c:pt idx="801">
                  <c:v>151</c:v>
                </c:pt>
                <c:pt idx="802">
                  <c:v>116</c:v>
                </c:pt>
                <c:pt idx="803">
                  <c:v>137</c:v>
                </c:pt>
                <c:pt idx="804">
                  <c:v>22</c:v>
                </c:pt>
                <c:pt idx="805">
                  <c:v>509</c:v>
                </c:pt>
                <c:pt idx="806">
                  <c:v>102</c:v>
                </c:pt>
                <c:pt idx="807">
                  <c:v>213</c:v>
                </c:pt>
                <c:pt idx="808">
                  <c:v>10</c:v>
                </c:pt>
                <c:pt idx="809">
                  <c:v>2977</c:v>
                </c:pt>
                <c:pt idx="810">
                  <c:v>36</c:v>
                </c:pt>
                <c:pt idx="811">
                  <c:v>301</c:v>
                </c:pt>
                <c:pt idx="812">
                  <c:v>44</c:v>
                </c:pt>
                <c:pt idx="813">
                  <c:v>192</c:v>
                </c:pt>
                <c:pt idx="814">
                  <c:v>48</c:v>
                </c:pt>
                <c:pt idx="815">
                  <c:v>2205</c:v>
                </c:pt>
                <c:pt idx="816">
                  <c:v>74</c:v>
                </c:pt>
                <c:pt idx="817">
                  <c:v>25</c:v>
                </c:pt>
                <c:pt idx="818">
                  <c:v>99</c:v>
                </c:pt>
                <c:pt idx="819">
                  <c:v>151</c:v>
                </c:pt>
                <c:pt idx="820">
                  <c:v>975</c:v>
                </c:pt>
                <c:pt idx="821">
                  <c:v>148</c:v>
                </c:pt>
                <c:pt idx="822">
                  <c:v>4021</c:v>
                </c:pt>
                <c:pt idx="823">
                  <c:v>92</c:v>
                </c:pt>
                <c:pt idx="824">
                  <c:v>27</c:v>
                </c:pt>
                <c:pt idx="825">
                  <c:v>27</c:v>
                </c:pt>
                <c:pt idx="826">
                  <c:v>62</c:v>
                </c:pt>
                <c:pt idx="827">
                  <c:v>640</c:v>
                </c:pt>
                <c:pt idx="828">
                  <c:v>94</c:v>
                </c:pt>
                <c:pt idx="829">
                  <c:v>103</c:v>
                </c:pt>
                <c:pt idx="830">
                  <c:v>36</c:v>
                </c:pt>
                <c:pt idx="831">
                  <c:v>2756</c:v>
                </c:pt>
                <c:pt idx="832">
                  <c:v>49</c:v>
                </c:pt>
                <c:pt idx="833">
                  <c:v>55</c:v>
                </c:pt>
                <c:pt idx="834">
                  <c:v>118</c:v>
                </c:pt>
                <c:pt idx="835">
                  <c:v>17</c:v>
                </c:pt>
                <c:pt idx="836">
                  <c:v>9</c:v>
                </c:pt>
                <c:pt idx="837">
                  <c:v>541</c:v>
                </c:pt>
                <c:pt idx="838">
                  <c:v>121</c:v>
                </c:pt>
                <c:pt idx="839">
                  <c:v>1266</c:v>
                </c:pt>
                <c:pt idx="840">
                  <c:v>181</c:v>
                </c:pt>
                <c:pt idx="841">
                  <c:v>138</c:v>
                </c:pt>
                <c:pt idx="842">
                  <c:v>98</c:v>
                </c:pt>
                <c:pt idx="843">
                  <c:v>6116</c:v>
                </c:pt>
                <c:pt idx="844">
                  <c:v>842</c:v>
                </c:pt>
                <c:pt idx="845">
                  <c:v>460</c:v>
                </c:pt>
                <c:pt idx="846">
                  <c:v>1702</c:v>
                </c:pt>
                <c:pt idx="847">
                  <c:v>185</c:v>
                </c:pt>
                <c:pt idx="848">
                  <c:v>623</c:v>
                </c:pt>
                <c:pt idx="849">
                  <c:v>333</c:v>
                </c:pt>
                <c:pt idx="850">
                  <c:v>1002</c:v>
                </c:pt>
                <c:pt idx="851">
                  <c:v>65</c:v>
                </c:pt>
                <c:pt idx="852">
                  <c:v>300</c:v>
                </c:pt>
                <c:pt idx="853">
                  <c:v>5</c:v>
                </c:pt>
                <c:pt idx="854">
                  <c:v>52</c:v>
                </c:pt>
                <c:pt idx="855">
                  <c:v>137</c:v>
                </c:pt>
                <c:pt idx="856">
                  <c:v>4719</c:v>
                </c:pt>
                <c:pt idx="857">
                  <c:v>528</c:v>
                </c:pt>
                <c:pt idx="858">
                  <c:v>187</c:v>
                </c:pt>
                <c:pt idx="859">
                  <c:v>24</c:v>
                </c:pt>
                <c:pt idx="860">
                  <c:v>128</c:v>
                </c:pt>
                <c:pt idx="861">
                  <c:v>168</c:v>
                </c:pt>
                <c:pt idx="862">
                  <c:v>12</c:v>
                </c:pt>
                <c:pt idx="863">
                  <c:v>288</c:v>
                </c:pt>
                <c:pt idx="864">
                  <c:v>62</c:v>
                </c:pt>
                <c:pt idx="865">
                  <c:v>2340</c:v>
                </c:pt>
                <c:pt idx="866">
                  <c:v>5270</c:v>
                </c:pt>
                <c:pt idx="867">
                  <c:v>116</c:v>
                </c:pt>
                <c:pt idx="868">
                  <c:v>22</c:v>
                </c:pt>
                <c:pt idx="869">
                  <c:v>2710</c:v>
                </c:pt>
                <c:pt idx="870">
                  <c:v>7363</c:v>
                </c:pt>
                <c:pt idx="871">
                  <c:v>675</c:v>
                </c:pt>
                <c:pt idx="872">
                  <c:v>5573</c:v>
                </c:pt>
                <c:pt idx="873">
                  <c:v>10</c:v>
                </c:pt>
                <c:pt idx="874">
                  <c:v>129</c:v>
                </c:pt>
                <c:pt idx="875">
                  <c:v>3541</c:v>
                </c:pt>
                <c:pt idx="876">
                  <c:v>115</c:v>
                </c:pt>
                <c:pt idx="877">
                  <c:v>149</c:v>
                </c:pt>
                <c:pt idx="878">
                  <c:v>392</c:v>
                </c:pt>
                <c:pt idx="879">
                  <c:v>252</c:v>
                </c:pt>
                <c:pt idx="880">
                  <c:v>43</c:v>
                </c:pt>
                <c:pt idx="881">
                  <c:v>14</c:v>
                </c:pt>
                <c:pt idx="882">
                  <c:v>71</c:v>
                </c:pt>
                <c:pt idx="883">
                  <c:v>54</c:v>
                </c:pt>
                <c:pt idx="884">
                  <c:v>76</c:v>
                </c:pt>
                <c:pt idx="885">
                  <c:v>39</c:v>
                </c:pt>
                <c:pt idx="886">
                  <c:v>194</c:v>
                </c:pt>
                <c:pt idx="887">
                  <c:v>3944</c:v>
                </c:pt>
                <c:pt idx="888">
                  <c:v>178</c:v>
                </c:pt>
                <c:pt idx="889">
                  <c:v>6</c:v>
                </c:pt>
                <c:pt idx="890">
                  <c:v>2</c:v>
                </c:pt>
                <c:pt idx="891">
                  <c:v>145</c:v>
                </c:pt>
                <c:pt idx="892">
                  <c:v>68</c:v>
                </c:pt>
                <c:pt idx="893">
                  <c:v>2081</c:v>
                </c:pt>
                <c:pt idx="894">
                  <c:v>120</c:v>
                </c:pt>
                <c:pt idx="895">
                  <c:v>138</c:v>
                </c:pt>
                <c:pt idx="896">
                  <c:v>17</c:v>
                </c:pt>
                <c:pt idx="897">
                  <c:v>1019</c:v>
                </c:pt>
                <c:pt idx="898">
                  <c:v>121</c:v>
                </c:pt>
                <c:pt idx="899">
                  <c:v>28</c:v>
                </c:pt>
                <c:pt idx="900">
                  <c:v>1102</c:v>
                </c:pt>
                <c:pt idx="901">
                  <c:v>1562</c:v>
                </c:pt>
                <c:pt idx="902">
                  <c:v>87</c:v>
                </c:pt>
                <c:pt idx="903">
                  <c:v>58</c:v>
                </c:pt>
                <c:pt idx="904">
                  <c:v>164</c:v>
                </c:pt>
                <c:pt idx="905">
                  <c:v>45</c:v>
                </c:pt>
                <c:pt idx="906">
                  <c:v>3519</c:v>
                </c:pt>
                <c:pt idx="907">
                  <c:v>67</c:v>
                </c:pt>
                <c:pt idx="908">
                  <c:v>85</c:v>
                </c:pt>
                <c:pt idx="909">
                  <c:v>84</c:v>
                </c:pt>
                <c:pt idx="910">
                  <c:v>1104</c:v>
                </c:pt>
                <c:pt idx="911">
                  <c:v>214</c:v>
                </c:pt>
                <c:pt idx="912">
                  <c:v>995</c:v>
                </c:pt>
                <c:pt idx="913">
                  <c:v>8</c:v>
                </c:pt>
                <c:pt idx="914">
                  <c:v>8</c:v>
                </c:pt>
                <c:pt idx="915">
                  <c:v>32</c:v>
                </c:pt>
                <c:pt idx="916">
                  <c:v>1685</c:v>
                </c:pt>
                <c:pt idx="917">
                  <c:v>132</c:v>
                </c:pt>
                <c:pt idx="918">
                  <c:v>1001</c:v>
                </c:pt>
                <c:pt idx="919">
                  <c:v>5092</c:v>
                </c:pt>
                <c:pt idx="920">
                  <c:v>758</c:v>
                </c:pt>
                <c:pt idx="921">
                  <c:v>1721</c:v>
                </c:pt>
                <c:pt idx="922">
                  <c:v>109</c:v>
                </c:pt>
                <c:pt idx="923">
                  <c:v>340</c:v>
                </c:pt>
                <c:pt idx="924">
                  <c:v>8</c:v>
                </c:pt>
                <c:pt idx="925">
                  <c:v>166</c:v>
                </c:pt>
                <c:pt idx="926">
                  <c:v>49</c:v>
                </c:pt>
                <c:pt idx="927">
                  <c:v>172</c:v>
                </c:pt>
                <c:pt idx="928">
                  <c:v>185</c:v>
                </c:pt>
                <c:pt idx="929">
                  <c:v>2</c:v>
                </c:pt>
                <c:pt idx="930">
                  <c:v>565</c:v>
                </c:pt>
                <c:pt idx="931">
                  <c:v>31</c:v>
                </c:pt>
                <c:pt idx="932">
                  <c:v>426</c:v>
                </c:pt>
                <c:pt idx="933">
                  <c:v>204</c:v>
                </c:pt>
                <c:pt idx="934">
                  <c:v>338</c:v>
                </c:pt>
                <c:pt idx="935">
                  <c:v>4133</c:v>
                </c:pt>
                <c:pt idx="936">
                  <c:v>246</c:v>
                </c:pt>
                <c:pt idx="937">
                  <c:v>20</c:v>
                </c:pt>
                <c:pt idx="938">
                  <c:v>32</c:v>
                </c:pt>
                <c:pt idx="939">
                  <c:v>147</c:v>
                </c:pt>
                <c:pt idx="940">
                  <c:v>436</c:v>
                </c:pt>
                <c:pt idx="941">
                  <c:v>169</c:v>
                </c:pt>
                <c:pt idx="942">
                  <c:v>2569</c:v>
                </c:pt>
                <c:pt idx="943">
                  <c:v>44</c:v>
                </c:pt>
                <c:pt idx="944">
                  <c:v>27</c:v>
                </c:pt>
                <c:pt idx="945">
                  <c:v>362</c:v>
                </c:pt>
                <c:pt idx="946">
                  <c:v>23</c:v>
                </c:pt>
                <c:pt idx="947">
                  <c:v>24</c:v>
                </c:pt>
                <c:pt idx="948">
                  <c:v>53</c:v>
                </c:pt>
                <c:pt idx="949">
                  <c:v>4264</c:v>
                </c:pt>
                <c:pt idx="950">
                  <c:v>61</c:v>
                </c:pt>
                <c:pt idx="951">
                  <c:v>27</c:v>
                </c:pt>
                <c:pt idx="952">
                  <c:v>334</c:v>
                </c:pt>
                <c:pt idx="953">
                  <c:v>3</c:v>
                </c:pt>
                <c:pt idx="954">
                  <c:v>42</c:v>
                </c:pt>
                <c:pt idx="955">
                  <c:v>60</c:v>
                </c:pt>
                <c:pt idx="956">
                  <c:v>137</c:v>
                </c:pt>
                <c:pt idx="957">
                  <c:v>5187</c:v>
                </c:pt>
                <c:pt idx="958">
                  <c:v>101</c:v>
                </c:pt>
                <c:pt idx="959">
                  <c:v>21</c:v>
                </c:pt>
                <c:pt idx="960">
                  <c:v>107</c:v>
                </c:pt>
                <c:pt idx="961">
                  <c:v>284</c:v>
                </c:pt>
                <c:pt idx="962">
                  <c:v>5079</c:v>
                </c:pt>
                <c:pt idx="963">
                  <c:v>176</c:v>
                </c:pt>
                <c:pt idx="964">
                  <c:v>155</c:v>
                </c:pt>
                <c:pt idx="965">
                  <c:v>5267</c:v>
                </c:pt>
                <c:pt idx="966">
                  <c:v>64</c:v>
                </c:pt>
                <c:pt idx="967">
                  <c:v>185</c:v>
                </c:pt>
                <c:pt idx="968">
                  <c:v>42</c:v>
                </c:pt>
                <c:pt idx="969">
                  <c:v>257</c:v>
                </c:pt>
                <c:pt idx="970">
                  <c:v>31</c:v>
                </c:pt>
                <c:pt idx="971">
                  <c:v>98</c:v>
                </c:pt>
                <c:pt idx="972">
                  <c:v>69</c:v>
                </c:pt>
                <c:pt idx="973">
                  <c:v>84</c:v>
                </c:pt>
                <c:pt idx="974">
                  <c:v>143</c:v>
                </c:pt>
                <c:pt idx="975">
                  <c:v>34</c:v>
                </c:pt>
                <c:pt idx="976">
                  <c:v>9736</c:v>
                </c:pt>
                <c:pt idx="977">
                  <c:v>75</c:v>
                </c:pt>
                <c:pt idx="978">
                  <c:v>178</c:v>
                </c:pt>
                <c:pt idx="979">
                  <c:v>36</c:v>
                </c:pt>
                <c:pt idx="980">
                  <c:v>2791</c:v>
                </c:pt>
                <c:pt idx="981">
                  <c:v>442</c:v>
                </c:pt>
                <c:pt idx="982">
                  <c:v>14</c:v>
                </c:pt>
                <c:pt idx="983">
                  <c:v>25</c:v>
                </c:pt>
                <c:pt idx="984">
                  <c:v>32</c:v>
                </c:pt>
                <c:pt idx="985">
                  <c:v>56</c:v>
                </c:pt>
                <c:pt idx="986">
                  <c:v>50</c:v>
                </c:pt>
                <c:pt idx="987">
                  <c:v>144</c:v>
                </c:pt>
                <c:pt idx="988">
                  <c:v>200</c:v>
                </c:pt>
                <c:pt idx="989">
                  <c:v>144</c:v>
                </c:pt>
                <c:pt idx="990">
                  <c:v>62</c:v>
                </c:pt>
                <c:pt idx="991">
                  <c:v>23</c:v>
                </c:pt>
                <c:pt idx="992">
                  <c:v>37</c:v>
                </c:pt>
                <c:pt idx="993">
                  <c:v>119</c:v>
                </c:pt>
                <c:pt idx="994">
                  <c:v>107</c:v>
                </c:pt>
                <c:pt idx="995">
                  <c:v>1</c:v>
                </c:pt>
                <c:pt idx="996">
                  <c:v>74</c:v>
                </c:pt>
                <c:pt idx="997">
                  <c:v>22</c:v>
                </c:pt>
              </c:numCache>
            </c:numRef>
          </c:xVal>
          <c:yVal>
            <c:numRef>
              <c:f>[0]!EngagementRange</c:f>
              <c:numCache>
                <c:formatCode>0.00%</c:formatCode>
                <c:ptCount val="998"/>
                <c:pt idx="0">
                  <c:v>8.2632872106556315E-2</c:v>
                </c:pt>
                <c:pt idx="1">
                  <c:v>3.6416234152982216E-2</c:v>
                </c:pt>
                <c:pt idx="2">
                  <c:v>3.2428621783574196E-2</c:v>
                </c:pt>
                <c:pt idx="3">
                  <c:v>7.4700830186274048E-2</c:v>
                </c:pt>
                <c:pt idx="4">
                  <c:v>7.468511619655846E-2</c:v>
                </c:pt>
                <c:pt idx="5">
                  <c:v>6.0158311345646441E-2</c:v>
                </c:pt>
                <c:pt idx="6">
                  <c:v>5.4451470440630333E-2</c:v>
                </c:pt>
                <c:pt idx="7">
                  <c:v>5.2953156822810592E-2</c:v>
                </c:pt>
                <c:pt idx="8">
                  <c:v>9.1980503915197354E-2</c:v>
                </c:pt>
                <c:pt idx="9">
                  <c:v>0.15060240963855423</c:v>
                </c:pt>
                <c:pt idx="10">
                  <c:v>7.8728172170309918E-2</c:v>
                </c:pt>
                <c:pt idx="11">
                  <c:v>0.15006527289830868</c:v>
                </c:pt>
                <c:pt idx="12">
                  <c:v>5.1937095032397407E-2</c:v>
                </c:pt>
                <c:pt idx="13">
                  <c:v>3.7319875157712998E-2</c:v>
                </c:pt>
                <c:pt idx="14">
                  <c:v>3.2058823529411765E-2</c:v>
                </c:pt>
                <c:pt idx="15">
                  <c:v>7.9939668174962286E-2</c:v>
                </c:pt>
                <c:pt idx="16">
                  <c:v>4.5580513418903151E-2</c:v>
                </c:pt>
                <c:pt idx="17">
                  <c:v>6.222433331071453E-2</c:v>
                </c:pt>
                <c:pt idx="18">
                  <c:v>8.2502644315522927E-2</c:v>
                </c:pt>
                <c:pt idx="19">
                  <c:v>6.8292682926829273E-2</c:v>
                </c:pt>
                <c:pt idx="20">
                  <c:v>0.12411479279594334</c:v>
                </c:pt>
                <c:pt idx="21">
                  <c:v>6.5043478260869564E-2</c:v>
                </c:pt>
                <c:pt idx="22">
                  <c:v>4.3179122182680899E-2</c:v>
                </c:pt>
                <c:pt idx="23">
                  <c:v>7.6411184402545088E-2</c:v>
                </c:pt>
                <c:pt idx="24">
                  <c:v>4.6587984736888813E-2</c:v>
                </c:pt>
                <c:pt idx="25">
                  <c:v>2.6486626850168789E-2</c:v>
                </c:pt>
                <c:pt idx="26">
                  <c:v>8.4510192590992878E-2</c:v>
                </c:pt>
                <c:pt idx="27">
                  <c:v>0.16948720916772775</c:v>
                </c:pt>
                <c:pt idx="28">
                  <c:v>3.5904255319148939E-2</c:v>
                </c:pt>
                <c:pt idx="29">
                  <c:v>8.6795520231213869E-2</c:v>
                </c:pt>
                <c:pt idx="30">
                  <c:v>3.0753061597514165E-2</c:v>
                </c:pt>
                <c:pt idx="31">
                  <c:v>4.5597935187840548E-2</c:v>
                </c:pt>
                <c:pt idx="32">
                  <c:v>5.2453366387520031E-2</c:v>
                </c:pt>
                <c:pt idx="33">
                  <c:v>4.7718877907557154E-2</c:v>
                </c:pt>
                <c:pt idx="34">
                  <c:v>5.3402069969698165E-2</c:v>
                </c:pt>
                <c:pt idx="35">
                  <c:v>0.16489063376332025</c:v>
                </c:pt>
                <c:pt idx="36">
                  <c:v>0.15400600499652384</c:v>
                </c:pt>
                <c:pt idx="37">
                  <c:v>0.17563234770217315</c:v>
                </c:pt>
                <c:pt idx="38">
                  <c:v>5.7692307692307696E-2</c:v>
                </c:pt>
                <c:pt idx="39">
                  <c:v>0.13428402156034952</c:v>
                </c:pt>
                <c:pt idx="40">
                  <c:v>3.2378201717716805E-2</c:v>
                </c:pt>
                <c:pt idx="41">
                  <c:v>6.460828480386771E-2</c:v>
                </c:pt>
                <c:pt idx="42">
                  <c:v>5.3399154647823702E-2</c:v>
                </c:pt>
                <c:pt idx="43">
                  <c:v>6.7185514612452354E-2</c:v>
                </c:pt>
                <c:pt idx="44">
                  <c:v>9.1104863312795353E-2</c:v>
                </c:pt>
                <c:pt idx="45">
                  <c:v>2.8490604162457061E-2</c:v>
                </c:pt>
                <c:pt idx="46">
                  <c:v>0.11568944076321992</c:v>
                </c:pt>
                <c:pt idx="47">
                  <c:v>0.13448150164934813</c:v>
                </c:pt>
                <c:pt idx="48">
                  <c:v>3.5430839002267574E-2</c:v>
                </c:pt>
                <c:pt idx="49">
                  <c:v>9.5901775344284054E-2</c:v>
                </c:pt>
                <c:pt idx="50">
                  <c:v>2.7398989898989898E-2</c:v>
                </c:pt>
                <c:pt idx="51">
                  <c:v>3.6553400371729494E-2</c:v>
                </c:pt>
                <c:pt idx="52">
                  <c:v>5.2170100832967997E-2</c:v>
                </c:pt>
                <c:pt idx="53">
                  <c:v>9.3270541862890008E-2</c:v>
                </c:pt>
                <c:pt idx="54">
                  <c:v>8.9029135136791157E-2</c:v>
                </c:pt>
                <c:pt idx="55">
                  <c:v>6.1757990867579909E-2</c:v>
                </c:pt>
                <c:pt idx="56">
                  <c:v>7.9042457091237583E-2</c:v>
                </c:pt>
                <c:pt idx="57">
                  <c:v>8.7162276815173745E-2</c:v>
                </c:pt>
                <c:pt idx="58">
                  <c:v>3.7296037296037296E-2</c:v>
                </c:pt>
                <c:pt idx="59">
                  <c:v>0.14025492954055022</c:v>
                </c:pt>
                <c:pt idx="60">
                  <c:v>7.7477568303256375E-2</c:v>
                </c:pt>
                <c:pt idx="61">
                  <c:v>5.9970014992503748E-2</c:v>
                </c:pt>
                <c:pt idx="62">
                  <c:v>7.5390250283422E-2</c:v>
                </c:pt>
                <c:pt idx="63">
                  <c:v>0.15427993059572007</c:v>
                </c:pt>
                <c:pt idx="64">
                  <c:v>0.11418841521934306</c:v>
                </c:pt>
                <c:pt idx="65">
                  <c:v>2.0089721084454847E-2</c:v>
                </c:pt>
                <c:pt idx="66">
                  <c:v>0.13536798471979519</c:v>
                </c:pt>
                <c:pt idx="67">
                  <c:v>0.13702749392439903</c:v>
                </c:pt>
                <c:pt idx="68">
                  <c:v>5.0671286271113038E-2</c:v>
                </c:pt>
                <c:pt idx="69">
                  <c:v>4.8415739788765302E-2</c:v>
                </c:pt>
                <c:pt idx="70">
                  <c:v>6.1848850669753597E-2</c:v>
                </c:pt>
                <c:pt idx="71">
                  <c:v>5.6390370011310392E-2</c:v>
                </c:pt>
                <c:pt idx="72">
                  <c:v>3.0642504118616146E-2</c:v>
                </c:pt>
                <c:pt idx="73">
                  <c:v>0.13222603206559921</c:v>
                </c:pt>
                <c:pt idx="74">
                  <c:v>4.0325950689511073E-2</c:v>
                </c:pt>
                <c:pt idx="75">
                  <c:v>0.14815423016290069</c:v>
                </c:pt>
                <c:pt idx="76">
                  <c:v>5.4709418837675348E-2</c:v>
                </c:pt>
                <c:pt idx="77">
                  <c:v>9.869348461406223E-2</c:v>
                </c:pt>
                <c:pt idx="78">
                  <c:v>2.6502877593461333E-2</c:v>
                </c:pt>
                <c:pt idx="79">
                  <c:v>9.1153050899652463E-2</c:v>
                </c:pt>
                <c:pt idx="80">
                  <c:v>4.5518902468794246E-2</c:v>
                </c:pt>
                <c:pt idx="81">
                  <c:v>6.8860164512338423E-2</c:v>
                </c:pt>
                <c:pt idx="82">
                  <c:v>5.9877175025588536E-2</c:v>
                </c:pt>
                <c:pt idx="83">
                  <c:v>4.2949507389162561E-2</c:v>
                </c:pt>
                <c:pt idx="84">
                  <c:v>3.8112805590917356E-2</c:v>
                </c:pt>
                <c:pt idx="85">
                  <c:v>6.2758361518226224E-2</c:v>
                </c:pt>
                <c:pt idx="86">
                  <c:v>5.8240396530359353E-2</c:v>
                </c:pt>
                <c:pt idx="87">
                  <c:v>8.0839184989064117E-2</c:v>
                </c:pt>
                <c:pt idx="88">
                  <c:v>6.0931624587522062E-2</c:v>
                </c:pt>
                <c:pt idx="89">
                  <c:v>0.1348064762698909</c:v>
                </c:pt>
                <c:pt idx="90">
                  <c:v>2.9545209031003564E-2</c:v>
                </c:pt>
                <c:pt idx="91">
                  <c:v>4.9119647859143654E-2</c:v>
                </c:pt>
                <c:pt idx="92">
                  <c:v>7.3991279520152275E-2</c:v>
                </c:pt>
                <c:pt idx="93">
                  <c:v>4.6917102551909971E-2</c:v>
                </c:pt>
                <c:pt idx="94">
                  <c:v>0.13790730711178195</c:v>
                </c:pt>
                <c:pt idx="95">
                  <c:v>0.17239114613841702</c:v>
                </c:pt>
                <c:pt idx="96">
                  <c:v>0.11818429076542079</c:v>
                </c:pt>
                <c:pt idx="97">
                  <c:v>8.7158291639475013E-2</c:v>
                </c:pt>
                <c:pt idx="98">
                  <c:v>5.4928937365724677E-2</c:v>
                </c:pt>
                <c:pt idx="99">
                  <c:v>4.5576407506702415E-2</c:v>
                </c:pt>
                <c:pt idx="100">
                  <c:v>7.8337000795917405E-2</c:v>
                </c:pt>
                <c:pt idx="101">
                  <c:v>0.10456157396162254</c:v>
                </c:pt>
                <c:pt idx="102">
                  <c:v>7.2042171026942603E-2</c:v>
                </c:pt>
                <c:pt idx="103">
                  <c:v>4.5208870030812746E-2</c:v>
                </c:pt>
                <c:pt idx="104">
                  <c:v>9.148766905330151E-2</c:v>
                </c:pt>
                <c:pt idx="105">
                  <c:v>8.0835985826677073E-2</c:v>
                </c:pt>
                <c:pt idx="106">
                  <c:v>0.11877954866695911</c:v>
                </c:pt>
                <c:pt idx="107">
                  <c:v>5.885389778007228E-2</c:v>
                </c:pt>
                <c:pt idx="108">
                  <c:v>7.4227144982641755E-2</c:v>
                </c:pt>
                <c:pt idx="109">
                  <c:v>4.5563149413791186E-2</c:v>
                </c:pt>
                <c:pt idx="110">
                  <c:v>4.3295526512752605E-2</c:v>
                </c:pt>
                <c:pt idx="111">
                  <c:v>0.16837032827171067</c:v>
                </c:pt>
                <c:pt idx="112">
                  <c:v>6.3837920489296637E-2</c:v>
                </c:pt>
                <c:pt idx="113">
                  <c:v>3.1333333333333331E-2</c:v>
                </c:pt>
                <c:pt idx="114">
                  <c:v>0.14920626795574807</c:v>
                </c:pt>
                <c:pt idx="115">
                  <c:v>9.0463743946634173E-2</c:v>
                </c:pt>
                <c:pt idx="116">
                  <c:v>4.0346217255907674E-2</c:v>
                </c:pt>
                <c:pt idx="117">
                  <c:v>6.8502661420967365E-2</c:v>
                </c:pt>
                <c:pt idx="118">
                  <c:v>6.0150375939849621E-2</c:v>
                </c:pt>
                <c:pt idx="119">
                  <c:v>8.2465315768742609E-2</c:v>
                </c:pt>
                <c:pt idx="120">
                  <c:v>6.148464827050136E-2</c:v>
                </c:pt>
                <c:pt idx="121">
                  <c:v>7.3973607038123168E-2</c:v>
                </c:pt>
                <c:pt idx="122">
                  <c:v>0.14690553745928339</c:v>
                </c:pt>
                <c:pt idx="123">
                  <c:v>8.2530454946275186E-2</c:v>
                </c:pt>
                <c:pt idx="124">
                  <c:v>2.779309584206463E-2</c:v>
                </c:pt>
                <c:pt idx="125">
                  <c:v>0.10214477211796247</c:v>
                </c:pt>
                <c:pt idx="126">
                  <c:v>8.3311054671835319E-2</c:v>
                </c:pt>
                <c:pt idx="127">
                  <c:v>0.17538987757590124</c:v>
                </c:pt>
                <c:pt idx="128">
                  <c:v>4.9844676645015532E-2</c:v>
                </c:pt>
                <c:pt idx="129">
                  <c:v>0.10735695923799134</c:v>
                </c:pt>
                <c:pt idx="130">
                  <c:v>6.9421211107393771E-2</c:v>
                </c:pt>
                <c:pt idx="131">
                  <c:v>9.6326758207290725E-2</c:v>
                </c:pt>
                <c:pt idx="132">
                  <c:v>5.3514459195224864E-2</c:v>
                </c:pt>
                <c:pt idx="133">
                  <c:v>7.230740109786106E-2</c:v>
                </c:pt>
                <c:pt idx="134">
                  <c:v>6.5870232354230604E-2</c:v>
                </c:pt>
                <c:pt idx="135">
                  <c:v>0.12277726634042346</c:v>
                </c:pt>
                <c:pt idx="136">
                  <c:v>6.5497998985401054E-2</c:v>
                </c:pt>
                <c:pt idx="137">
                  <c:v>8.3499479244160096E-2</c:v>
                </c:pt>
                <c:pt idx="138">
                  <c:v>0.12513741444195695</c:v>
                </c:pt>
                <c:pt idx="139">
                  <c:v>2.3815461346633416E-2</c:v>
                </c:pt>
                <c:pt idx="140">
                  <c:v>7.3044641771074073E-2</c:v>
                </c:pt>
                <c:pt idx="141">
                  <c:v>0.12997113353778533</c:v>
                </c:pt>
                <c:pt idx="142">
                  <c:v>0.1112339078228143</c:v>
                </c:pt>
                <c:pt idx="143">
                  <c:v>7.9858317161294393E-2</c:v>
                </c:pt>
                <c:pt idx="144">
                  <c:v>2.7428013665202537E-2</c:v>
                </c:pt>
                <c:pt idx="145">
                  <c:v>7.6117227979274615E-2</c:v>
                </c:pt>
                <c:pt idx="146">
                  <c:v>7.9740557039297971E-2</c:v>
                </c:pt>
                <c:pt idx="147">
                  <c:v>6.1406896551724141E-2</c:v>
                </c:pt>
                <c:pt idx="148">
                  <c:v>4.3027515784550628E-2</c:v>
                </c:pt>
                <c:pt idx="149">
                  <c:v>6.2391895231035333E-2</c:v>
                </c:pt>
                <c:pt idx="150">
                  <c:v>7.6223719457748196E-2</c:v>
                </c:pt>
                <c:pt idx="151">
                  <c:v>0.10417448232741182</c:v>
                </c:pt>
                <c:pt idx="152">
                  <c:v>5.1542484650951265E-2</c:v>
                </c:pt>
                <c:pt idx="153">
                  <c:v>4.1071428571428571E-2</c:v>
                </c:pt>
                <c:pt idx="154">
                  <c:v>0.14388296447135737</c:v>
                </c:pt>
                <c:pt idx="155">
                  <c:v>7.9171210468920394E-2</c:v>
                </c:pt>
                <c:pt idx="156">
                  <c:v>0.13413963716327654</c:v>
                </c:pt>
                <c:pt idx="157">
                  <c:v>7.5988377610179986E-2</c:v>
                </c:pt>
                <c:pt idx="158">
                  <c:v>9.5501896790510021E-2</c:v>
                </c:pt>
                <c:pt idx="159">
                  <c:v>7.8876490958060791E-2</c:v>
                </c:pt>
                <c:pt idx="160">
                  <c:v>3.9855072463768113E-2</c:v>
                </c:pt>
                <c:pt idx="161">
                  <c:v>7.3756131744919406E-2</c:v>
                </c:pt>
                <c:pt idx="162">
                  <c:v>5.2283770651117591E-2</c:v>
                </c:pt>
                <c:pt idx="163">
                  <c:v>5.3946338338908266E-2</c:v>
                </c:pt>
                <c:pt idx="164">
                  <c:v>5.1252519435646418E-2</c:v>
                </c:pt>
                <c:pt idx="165">
                  <c:v>7.5895442137480354E-2</c:v>
                </c:pt>
                <c:pt idx="166">
                  <c:v>3.9226181373298669E-2</c:v>
                </c:pt>
                <c:pt idx="167">
                  <c:v>7.5479566305254375E-2</c:v>
                </c:pt>
                <c:pt idx="168">
                  <c:v>7.7775092637344931E-2</c:v>
                </c:pt>
                <c:pt idx="169">
                  <c:v>2.2285355864664427E-2</c:v>
                </c:pt>
                <c:pt idx="170">
                  <c:v>7.0438596491228064E-2</c:v>
                </c:pt>
                <c:pt idx="171">
                  <c:v>4.5373521309350184E-2</c:v>
                </c:pt>
                <c:pt idx="172">
                  <c:v>3.4672480016609573E-2</c:v>
                </c:pt>
                <c:pt idx="173">
                  <c:v>4.0881819450258129E-2</c:v>
                </c:pt>
                <c:pt idx="174">
                  <c:v>5.4830363113062185E-2</c:v>
                </c:pt>
                <c:pt idx="175">
                  <c:v>5.5234954657873044E-2</c:v>
                </c:pt>
                <c:pt idx="176">
                  <c:v>0.11543126100892265</c:v>
                </c:pt>
                <c:pt idx="177">
                  <c:v>6.353512278697887E-2</c:v>
                </c:pt>
                <c:pt idx="178">
                  <c:v>3.8685524126455907E-2</c:v>
                </c:pt>
                <c:pt idx="179">
                  <c:v>5.1462865716429107E-2</c:v>
                </c:pt>
                <c:pt idx="180">
                  <c:v>3.5641954320348883E-2</c:v>
                </c:pt>
                <c:pt idx="181">
                  <c:v>5.6970509383378019E-2</c:v>
                </c:pt>
                <c:pt idx="182">
                  <c:v>4.5376648535876613E-2</c:v>
                </c:pt>
                <c:pt idx="183">
                  <c:v>0.13043655189564352</c:v>
                </c:pt>
                <c:pt idx="184">
                  <c:v>0.15596734334347398</c:v>
                </c:pt>
                <c:pt idx="185">
                  <c:v>4.5818350539380583E-2</c:v>
                </c:pt>
                <c:pt idx="186">
                  <c:v>0.14573442318046106</c:v>
                </c:pt>
                <c:pt idx="187">
                  <c:v>4.2583292070453423E-2</c:v>
                </c:pt>
                <c:pt idx="188">
                  <c:v>8.2579952982755084E-2</c:v>
                </c:pt>
                <c:pt idx="189">
                  <c:v>0.14853175506487593</c:v>
                </c:pt>
                <c:pt idx="190">
                  <c:v>5.8649789029535868E-2</c:v>
                </c:pt>
                <c:pt idx="191">
                  <c:v>0.14145034510903315</c:v>
                </c:pt>
                <c:pt idx="192">
                  <c:v>8.5381302254877126E-2</c:v>
                </c:pt>
                <c:pt idx="193">
                  <c:v>8.1464604069232921E-2</c:v>
                </c:pt>
                <c:pt idx="194">
                  <c:v>7.6248938305922317E-2</c:v>
                </c:pt>
                <c:pt idx="195">
                  <c:v>5.8394607843137256E-2</c:v>
                </c:pt>
                <c:pt idx="196">
                  <c:v>0.14465090437681338</c:v>
                </c:pt>
                <c:pt idx="197">
                  <c:v>0.10300101729399797</c:v>
                </c:pt>
                <c:pt idx="198">
                  <c:v>0.11136281433820031</c:v>
                </c:pt>
                <c:pt idx="199">
                  <c:v>0.12215424533582704</c:v>
                </c:pt>
                <c:pt idx="200">
                  <c:v>0.11735395189003436</c:v>
                </c:pt>
                <c:pt idx="201">
                  <c:v>7.4972261848153435E-2</c:v>
                </c:pt>
                <c:pt idx="202">
                  <c:v>9.815435703799627E-2</c:v>
                </c:pt>
                <c:pt idx="203">
                  <c:v>5.1715665018934466E-2</c:v>
                </c:pt>
                <c:pt idx="204">
                  <c:v>3.1855955678670361E-2</c:v>
                </c:pt>
                <c:pt idx="205">
                  <c:v>2.8268551236749116E-2</c:v>
                </c:pt>
                <c:pt idx="206">
                  <c:v>0.11530255521090764</c:v>
                </c:pt>
                <c:pt idx="207">
                  <c:v>4.3653509772606285E-2</c:v>
                </c:pt>
                <c:pt idx="208">
                  <c:v>7.0328486072081406E-2</c:v>
                </c:pt>
                <c:pt idx="209">
                  <c:v>3.8396742945388182E-2</c:v>
                </c:pt>
                <c:pt idx="210">
                  <c:v>0.15078473507325282</c:v>
                </c:pt>
                <c:pt idx="211">
                  <c:v>8.6313303876495953E-2</c:v>
                </c:pt>
                <c:pt idx="212">
                  <c:v>7.6735688185140066E-2</c:v>
                </c:pt>
                <c:pt idx="213">
                  <c:v>6.9556714471968706E-2</c:v>
                </c:pt>
                <c:pt idx="214">
                  <c:v>8.2429103108455207E-2</c:v>
                </c:pt>
                <c:pt idx="215">
                  <c:v>3.5579514824797841E-2</c:v>
                </c:pt>
                <c:pt idx="216">
                  <c:v>5.3387264641877187E-2</c:v>
                </c:pt>
                <c:pt idx="217">
                  <c:v>4.1276346604215454E-2</c:v>
                </c:pt>
                <c:pt idx="218">
                  <c:v>3.4522439585730723E-2</c:v>
                </c:pt>
                <c:pt idx="219">
                  <c:v>4.0509138833974959E-2</c:v>
                </c:pt>
                <c:pt idx="220">
                  <c:v>0.12735003921892415</c:v>
                </c:pt>
                <c:pt idx="221">
                  <c:v>6.8215404622569017E-2</c:v>
                </c:pt>
                <c:pt idx="222">
                  <c:v>0.15446038198972156</c:v>
                </c:pt>
                <c:pt idx="223">
                  <c:v>8.6597938144329895E-2</c:v>
                </c:pt>
                <c:pt idx="224">
                  <c:v>0.13094265395672569</c:v>
                </c:pt>
                <c:pt idx="225">
                  <c:v>4.1404083690446181E-2</c:v>
                </c:pt>
                <c:pt idx="226">
                  <c:v>5.7577900736364769E-2</c:v>
                </c:pt>
                <c:pt idx="227">
                  <c:v>9.2371931968632248E-2</c:v>
                </c:pt>
                <c:pt idx="228">
                  <c:v>6.3159306275701765E-2</c:v>
                </c:pt>
                <c:pt idx="229">
                  <c:v>5.5180024831011171E-2</c:v>
                </c:pt>
                <c:pt idx="230">
                  <c:v>9.1614827001182453E-2</c:v>
                </c:pt>
                <c:pt idx="231">
                  <c:v>5.3412905632226781E-2</c:v>
                </c:pt>
                <c:pt idx="232">
                  <c:v>6.5852714061183121E-2</c:v>
                </c:pt>
                <c:pt idx="233">
                  <c:v>5.6815772736909055E-2</c:v>
                </c:pt>
                <c:pt idx="234">
                  <c:v>8.0948121645796067E-2</c:v>
                </c:pt>
                <c:pt idx="235">
                  <c:v>6.5420026305255327E-2</c:v>
                </c:pt>
                <c:pt idx="236">
                  <c:v>5.0970332366718718E-2</c:v>
                </c:pt>
                <c:pt idx="237">
                  <c:v>6.9918488808384013E-2</c:v>
                </c:pt>
                <c:pt idx="238">
                  <c:v>3.3033707865168536E-2</c:v>
                </c:pt>
                <c:pt idx="239">
                  <c:v>6.5237651444547989E-2</c:v>
                </c:pt>
                <c:pt idx="240">
                  <c:v>9.8939324817518243E-2</c:v>
                </c:pt>
                <c:pt idx="241">
                  <c:v>8.1639841760147408E-2</c:v>
                </c:pt>
                <c:pt idx="242">
                  <c:v>0.13486065453395241</c:v>
                </c:pt>
                <c:pt idx="243">
                  <c:v>0.10579056185201395</c:v>
                </c:pt>
                <c:pt idx="244">
                  <c:v>0.13901549680948039</c:v>
                </c:pt>
                <c:pt idx="245">
                  <c:v>0.11422048333159655</c:v>
                </c:pt>
                <c:pt idx="246">
                  <c:v>6.6690962099125367E-2</c:v>
                </c:pt>
                <c:pt idx="247">
                  <c:v>5.1265068220956417E-2</c:v>
                </c:pt>
                <c:pt idx="248">
                  <c:v>6.4020640206402066E-2</c:v>
                </c:pt>
                <c:pt idx="249">
                  <c:v>1.2706313859051611E-2</c:v>
                </c:pt>
                <c:pt idx="250">
                  <c:v>8.0378452096829187E-2</c:v>
                </c:pt>
                <c:pt idx="251">
                  <c:v>6.4516129032258063E-2</c:v>
                </c:pt>
                <c:pt idx="252">
                  <c:v>8.8366146765533116E-2</c:v>
                </c:pt>
                <c:pt idx="253">
                  <c:v>9.299543662221435E-2</c:v>
                </c:pt>
                <c:pt idx="254">
                  <c:v>9.7947629157820237E-2</c:v>
                </c:pt>
                <c:pt idx="255">
                  <c:v>5.6439010938505375E-2</c:v>
                </c:pt>
                <c:pt idx="256">
                  <c:v>5.9391239792130658E-2</c:v>
                </c:pt>
                <c:pt idx="257">
                  <c:v>5.9473237043330504E-2</c:v>
                </c:pt>
                <c:pt idx="258">
                  <c:v>5.9557056569461586E-2</c:v>
                </c:pt>
                <c:pt idx="259">
                  <c:v>0.13413826008588242</c:v>
                </c:pt>
                <c:pt idx="260">
                  <c:v>7.5375375375375378E-2</c:v>
                </c:pt>
                <c:pt idx="261">
                  <c:v>8.0370292446875657E-2</c:v>
                </c:pt>
                <c:pt idx="262">
                  <c:v>5.5947552641813433E-2</c:v>
                </c:pt>
                <c:pt idx="263">
                  <c:v>3.4973218706396005E-2</c:v>
                </c:pt>
                <c:pt idx="264">
                  <c:v>2.692268617291476E-2</c:v>
                </c:pt>
                <c:pt idx="265">
                  <c:v>0.15895199671442031</c:v>
                </c:pt>
                <c:pt idx="266">
                  <c:v>4.5858438317813888E-2</c:v>
                </c:pt>
                <c:pt idx="267">
                  <c:v>3.1535580524344568E-2</c:v>
                </c:pt>
                <c:pt idx="268">
                  <c:v>6.579174581246762E-2</c:v>
                </c:pt>
                <c:pt idx="269">
                  <c:v>4.2163882259347654E-2</c:v>
                </c:pt>
                <c:pt idx="270">
                  <c:v>4.0774949312908315E-2</c:v>
                </c:pt>
                <c:pt idx="271">
                  <c:v>0.14857342619732702</c:v>
                </c:pt>
                <c:pt idx="272">
                  <c:v>2.732509477622963E-2</c:v>
                </c:pt>
                <c:pt idx="273">
                  <c:v>5.5202079039340442E-2</c:v>
                </c:pt>
                <c:pt idx="274">
                  <c:v>0.12467583567327813</c:v>
                </c:pt>
                <c:pt idx="275">
                  <c:v>0.14602370804257303</c:v>
                </c:pt>
                <c:pt idx="276">
                  <c:v>5.9920106524633823E-2</c:v>
                </c:pt>
                <c:pt idx="277">
                  <c:v>5.2133299671800047E-2</c:v>
                </c:pt>
                <c:pt idx="278">
                  <c:v>8.7917327445919749E-2</c:v>
                </c:pt>
                <c:pt idx="279">
                  <c:v>7.9753702933062068E-2</c:v>
                </c:pt>
                <c:pt idx="280">
                  <c:v>6.9475154195275224E-2</c:v>
                </c:pt>
                <c:pt idx="281">
                  <c:v>4.6604814597910181E-2</c:v>
                </c:pt>
                <c:pt idx="282">
                  <c:v>0.15745002404341554</c:v>
                </c:pt>
                <c:pt idx="283">
                  <c:v>7.4699337735378055E-2</c:v>
                </c:pt>
                <c:pt idx="284">
                  <c:v>0.13394361829776333</c:v>
                </c:pt>
                <c:pt idx="285">
                  <c:v>8.4831948406300386E-2</c:v>
                </c:pt>
                <c:pt idx="286">
                  <c:v>3.82917600896861E-2</c:v>
                </c:pt>
                <c:pt idx="287">
                  <c:v>7.4209860935524646E-2</c:v>
                </c:pt>
                <c:pt idx="288">
                  <c:v>0.1593377136658895</c:v>
                </c:pt>
                <c:pt idx="289">
                  <c:v>3.0627350223749808E-2</c:v>
                </c:pt>
                <c:pt idx="290">
                  <c:v>0.15856472956716014</c:v>
                </c:pt>
                <c:pt idx="291">
                  <c:v>0.16101736033614425</c:v>
                </c:pt>
                <c:pt idx="292">
                  <c:v>0.1333362691562445</c:v>
                </c:pt>
                <c:pt idx="293">
                  <c:v>9.5519798759595778E-2</c:v>
                </c:pt>
                <c:pt idx="294">
                  <c:v>6.1794734013970981E-2</c:v>
                </c:pt>
                <c:pt idx="295">
                  <c:v>7.9679212189091519E-2</c:v>
                </c:pt>
                <c:pt idx="296">
                  <c:v>8.0066307501036049E-2</c:v>
                </c:pt>
                <c:pt idx="297">
                  <c:v>4.7283083594938345E-2</c:v>
                </c:pt>
                <c:pt idx="298">
                  <c:v>7.3512824285223877E-2</c:v>
                </c:pt>
                <c:pt idx="299">
                  <c:v>9.1738553417385529E-2</c:v>
                </c:pt>
                <c:pt idx="300">
                  <c:v>8.8302198938443516E-2</c:v>
                </c:pt>
                <c:pt idx="301">
                  <c:v>4.5389393215480175E-2</c:v>
                </c:pt>
                <c:pt idx="302">
                  <c:v>0.14426407997624469</c:v>
                </c:pt>
                <c:pt idx="303">
                  <c:v>6.4138576779026221E-2</c:v>
                </c:pt>
                <c:pt idx="304">
                  <c:v>4.8313090418353577E-2</c:v>
                </c:pt>
                <c:pt idx="305">
                  <c:v>6.8158989812024687E-2</c:v>
                </c:pt>
                <c:pt idx="306">
                  <c:v>3.6710719530102791E-2</c:v>
                </c:pt>
                <c:pt idx="307">
                  <c:v>4.9458628525598181E-2</c:v>
                </c:pt>
                <c:pt idx="308">
                  <c:v>6.1941214281540348E-2</c:v>
                </c:pt>
                <c:pt idx="309">
                  <c:v>0.10972167727727221</c:v>
                </c:pt>
                <c:pt idx="310">
                  <c:v>0.17046811364268308</c:v>
                </c:pt>
                <c:pt idx="311">
                  <c:v>4.6971864568431089E-2</c:v>
                </c:pt>
                <c:pt idx="312">
                  <c:v>0.10123324467733186</c:v>
                </c:pt>
                <c:pt idx="313">
                  <c:v>4.7472368182641785E-2</c:v>
                </c:pt>
                <c:pt idx="314">
                  <c:v>5.3846153846153849E-2</c:v>
                </c:pt>
                <c:pt idx="315">
                  <c:v>5.5041452592246611E-2</c:v>
                </c:pt>
                <c:pt idx="316">
                  <c:v>0.13822342678367566</c:v>
                </c:pt>
                <c:pt idx="317">
                  <c:v>2.8283369022127053E-2</c:v>
                </c:pt>
                <c:pt idx="318">
                  <c:v>2.5940811107051515E-2</c:v>
                </c:pt>
                <c:pt idx="319">
                  <c:v>0.1461162411732754</c:v>
                </c:pt>
                <c:pt idx="320">
                  <c:v>0.13183003437240726</c:v>
                </c:pt>
                <c:pt idx="321">
                  <c:v>7.6725546650066145E-2</c:v>
                </c:pt>
                <c:pt idx="322">
                  <c:v>4.1332044635796504E-2</c:v>
                </c:pt>
                <c:pt idx="323">
                  <c:v>6.0183812629706492E-2</c:v>
                </c:pt>
                <c:pt idx="324">
                  <c:v>6.9305956441878772E-2</c:v>
                </c:pt>
                <c:pt idx="325">
                  <c:v>5.1910507792860737E-2</c:v>
                </c:pt>
                <c:pt idx="326">
                  <c:v>2.667124542124542E-2</c:v>
                </c:pt>
                <c:pt idx="327">
                  <c:v>3.942476324096808E-2</c:v>
                </c:pt>
                <c:pt idx="328">
                  <c:v>3.5196014728178474E-2</c:v>
                </c:pt>
                <c:pt idx="329">
                  <c:v>4.8159134531495375E-2</c:v>
                </c:pt>
                <c:pt idx="330">
                  <c:v>0.1433285805242438</c:v>
                </c:pt>
                <c:pt idx="331">
                  <c:v>4.4819705434230576E-2</c:v>
                </c:pt>
                <c:pt idx="332">
                  <c:v>5.8722762779224336E-2</c:v>
                </c:pt>
                <c:pt idx="333">
                  <c:v>6.5290446471435434E-2</c:v>
                </c:pt>
                <c:pt idx="334">
                  <c:v>4.8073180225768779E-2</c:v>
                </c:pt>
                <c:pt idx="335">
                  <c:v>4.0484015536301168E-2</c:v>
                </c:pt>
                <c:pt idx="336">
                  <c:v>8.0890497511661649E-2</c:v>
                </c:pt>
                <c:pt idx="337">
                  <c:v>7.8243291450315111E-2</c:v>
                </c:pt>
                <c:pt idx="338">
                  <c:v>5.0739113064322813E-2</c:v>
                </c:pt>
                <c:pt idx="339">
                  <c:v>5.1819864281307831E-2</c:v>
                </c:pt>
                <c:pt idx="340">
                  <c:v>8.224507830526781E-2</c:v>
                </c:pt>
                <c:pt idx="341">
                  <c:v>6.6322629969418956E-2</c:v>
                </c:pt>
                <c:pt idx="342">
                  <c:v>0.16552694526523146</c:v>
                </c:pt>
                <c:pt idx="343">
                  <c:v>5.5529969076912954E-2</c:v>
                </c:pt>
                <c:pt idx="344">
                  <c:v>0.11625918100412516</c:v>
                </c:pt>
                <c:pt idx="345">
                  <c:v>5.403889304412865E-2</c:v>
                </c:pt>
                <c:pt idx="346">
                  <c:v>6.558486700084154E-2</c:v>
                </c:pt>
                <c:pt idx="347">
                  <c:v>3.8397212543554007E-2</c:v>
                </c:pt>
                <c:pt idx="348">
                  <c:v>3.6438075742067554E-2</c:v>
                </c:pt>
                <c:pt idx="349">
                  <c:v>2.2406820417531972E-2</c:v>
                </c:pt>
                <c:pt idx="350">
                  <c:v>4.7795730369937124E-2</c:v>
                </c:pt>
                <c:pt idx="351">
                  <c:v>5.2453468697123522E-2</c:v>
                </c:pt>
                <c:pt idx="352">
                  <c:v>6.5307808841757339E-2</c:v>
                </c:pt>
                <c:pt idx="353">
                  <c:v>5.9813189286518118E-2</c:v>
                </c:pt>
                <c:pt idx="354">
                  <c:v>0.10233922778449209</c:v>
                </c:pt>
                <c:pt idx="355">
                  <c:v>8.302505464940306E-2</c:v>
                </c:pt>
                <c:pt idx="356">
                  <c:v>6.9960496937081354E-2</c:v>
                </c:pt>
                <c:pt idx="357">
                  <c:v>3.1898674797701421E-2</c:v>
                </c:pt>
                <c:pt idx="358">
                  <c:v>3.7897676274060037E-2</c:v>
                </c:pt>
                <c:pt idx="359">
                  <c:v>5.5718738760340489E-2</c:v>
                </c:pt>
                <c:pt idx="360">
                  <c:v>4.4313273826662829E-2</c:v>
                </c:pt>
                <c:pt idx="361">
                  <c:v>5.8356545961002787E-2</c:v>
                </c:pt>
                <c:pt idx="362">
                  <c:v>0.1771390602752729</c:v>
                </c:pt>
                <c:pt idx="363">
                  <c:v>5.785290270650971E-2</c:v>
                </c:pt>
                <c:pt idx="364">
                  <c:v>6.8058076225045366E-2</c:v>
                </c:pt>
                <c:pt idx="365">
                  <c:v>8.0345911949685531E-2</c:v>
                </c:pt>
                <c:pt idx="366">
                  <c:v>6.0321358031281698E-2</c:v>
                </c:pt>
                <c:pt idx="367">
                  <c:v>0.14637575436036873</c:v>
                </c:pt>
                <c:pt idx="368">
                  <c:v>4.788404296622234E-2</c:v>
                </c:pt>
                <c:pt idx="369">
                  <c:v>0.13132292676822974</c:v>
                </c:pt>
                <c:pt idx="370">
                  <c:v>0.1708652024419339</c:v>
                </c:pt>
                <c:pt idx="371">
                  <c:v>0.13398255998981606</c:v>
                </c:pt>
                <c:pt idx="372">
                  <c:v>0.17767321109849099</c:v>
                </c:pt>
                <c:pt idx="373">
                  <c:v>7.7666151468315306E-2</c:v>
                </c:pt>
                <c:pt idx="374">
                  <c:v>5.2932275099595444E-2</c:v>
                </c:pt>
                <c:pt idx="375">
                  <c:v>8.4595185995623629E-2</c:v>
                </c:pt>
                <c:pt idx="376">
                  <c:v>2.5216383834253391E-2</c:v>
                </c:pt>
                <c:pt idx="377">
                  <c:v>0.17753850263533716</c:v>
                </c:pt>
                <c:pt idx="378">
                  <c:v>0.1298637881085751</c:v>
                </c:pt>
                <c:pt idx="379">
                  <c:v>6.3054149701282397E-2</c:v>
                </c:pt>
                <c:pt idx="380">
                  <c:v>9.7322681268985051E-2</c:v>
                </c:pt>
                <c:pt idx="381">
                  <c:v>6.621054954756124E-2</c:v>
                </c:pt>
                <c:pt idx="382">
                  <c:v>0.10081241124817666</c:v>
                </c:pt>
                <c:pt idx="383">
                  <c:v>7.0711161509800752E-2</c:v>
                </c:pt>
                <c:pt idx="384">
                  <c:v>6.57011326815512E-2</c:v>
                </c:pt>
                <c:pt idx="385">
                  <c:v>7.8221078221078225E-2</c:v>
                </c:pt>
                <c:pt idx="386">
                  <c:v>9.7409463388844833E-2</c:v>
                </c:pt>
                <c:pt idx="387">
                  <c:v>4.7992001333111149E-2</c:v>
                </c:pt>
                <c:pt idx="388">
                  <c:v>7.5694444444444439E-2</c:v>
                </c:pt>
                <c:pt idx="389">
                  <c:v>2.8676245796392542E-2</c:v>
                </c:pt>
                <c:pt idx="390">
                  <c:v>8.0758494561555497E-2</c:v>
                </c:pt>
                <c:pt idx="391">
                  <c:v>6.1241610738255035E-2</c:v>
                </c:pt>
                <c:pt idx="392">
                  <c:v>5.166033927627469E-2</c:v>
                </c:pt>
                <c:pt idx="393">
                  <c:v>3.3104649896547968E-2</c:v>
                </c:pt>
                <c:pt idx="394">
                  <c:v>5.0464210841569331E-2</c:v>
                </c:pt>
                <c:pt idx="395">
                  <c:v>4.1299042613103062E-2</c:v>
                </c:pt>
                <c:pt idx="396">
                  <c:v>6.6781292984869331E-2</c:v>
                </c:pt>
                <c:pt idx="397">
                  <c:v>6.9159240604416888E-2</c:v>
                </c:pt>
                <c:pt idx="398">
                  <c:v>4.8834417840672183E-2</c:v>
                </c:pt>
                <c:pt idx="399">
                  <c:v>4.195501730103806E-2</c:v>
                </c:pt>
                <c:pt idx="400">
                  <c:v>3.7724368725281412E-2</c:v>
                </c:pt>
                <c:pt idx="401">
                  <c:v>0.12542372881355932</c:v>
                </c:pt>
                <c:pt idx="402">
                  <c:v>6.4076218942648977E-2</c:v>
                </c:pt>
                <c:pt idx="403">
                  <c:v>4.0879499617053866E-2</c:v>
                </c:pt>
                <c:pt idx="404">
                  <c:v>4.7335161559556457E-2</c:v>
                </c:pt>
                <c:pt idx="405">
                  <c:v>8.1471660589990058E-2</c:v>
                </c:pt>
                <c:pt idx="406">
                  <c:v>0.10558904109589042</c:v>
                </c:pt>
                <c:pt idx="407">
                  <c:v>4.3456084871977968E-2</c:v>
                </c:pt>
                <c:pt idx="408">
                  <c:v>8.9695675387079551E-2</c:v>
                </c:pt>
                <c:pt idx="409">
                  <c:v>3.2462777642177205E-2</c:v>
                </c:pt>
                <c:pt idx="410">
                  <c:v>5.749823111011805E-2</c:v>
                </c:pt>
                <c:pt idx="411">
                  <c:v>6.92138671875E-2</c:v>
                </c:pt>
                <c:pt idx="412">
                  <c:v>4.2590196619084988E-2</c:v>
                </c:pt>
                <c:pt idx="413">
                  <c:v>4.6522964752760645E-2</c:v>
                </c:pt>
                <c:pt idx="414">
                  <c:v>3.3868935097668557E-2</c:v>
                </c:pt>
                <c:pt idx="415">
                  <c:v>3.8844621513944223E-2</c:v>
                </c:pt>
                <c:pt idx="416">
                  <c:v>0.13403486994301189</c:v>
                </c:pt>
                <c:pt idx="417">
                  <c:v>6.4571961123685268E-2</c:v>
                </c:pt>
                <c:pt idx="418">
                  <c:v>4.2184724689165183E-2</c:v>
                </c:pt>
                <c:pt idx="419">
                  <c:v>3.628304901303922E-2</c:v>
                </c:pt>
                <c:pt idx="420">
                  <c:v>0.13353643056613354</c:v>
                </c:pt>
                <c:pt idx="421">
                  <c:v>0.11950345074840907</c:v>
                </c:pt>
                <c:pt idx="422">
                  <c:v>5.9993307519479899E-2</c:v>
                </c:pt>
                <c:pt idx="423">
                  <c:v>0.19337736613017512</c:v>
                </c:pt>
                <c:pt idx="424">
                  <c:v>2.6642335766423358E-2</c:v>
                </c:pt>
                <c:pt idx="425">
                  <c:v>4.9357113231024471E-2</c:v>
                </c:pt>
                <c:pt idx="426">
                  <c:v>4.5667510366740265E-2</c:v>
                </c:pt>
                <c:pt idx="427">
                  <c:v>3.8409663988740982E-2</c:v>
                </c:pt>
                <c:pt idx="428">
                  <c:v>5.1453021929042608E-2</c:v>
                </c:pt>
                <c:pt idx="429">
                  <c:v>4.0931922624772896E-2</c:v>
                </c:pt>
                <c:pt idx="430">
                  <c:v>5.6545789797172709E-2</c:v>
                </c:pt>
                <c:pt idx="431">
                  <c:v>2.8263294905169208E-2</c:v>
                </c:pt>
                <c:pt idx="432">
                  <c:v>5.0685887003022553E-2</c:v>
                </c:pt>
                <c:pt idx="433">
                  <c:v>2.5133351414881114E-2</c:v>
                </c:pt>
                <c:pt idx="434">
                  <c:v>8.2758256460812613E-2</c:v>
                </c:pt>
                <c:pt idx="435">
                  <c:v>5.3642245877687331E-2</c:v>
                </c:pt>
                <c:pt idx="436">
                  <c:v>9.1647529131581182E-2</c:v>
                </c:pt>
                <c:pt idx="437">
                  <c:v>6.6754418954494174E-2</c:v>
                </c:pt>
                <c:pt idx="438">
                  <c:v>0.14710076045627377</c:v>
                </c:pt>
                <c:pt idx="439">
                  <c:v>4.8250501448629371E-2</c:v>
                </c:pt>
                <c:pt idx="440">
                  <c:v>2.643171806167401E-2</c:v>
                </c:pt>
                <c:pt idx="441">
                  <c:v>0.1275278112378658</c:v>
                </c:pt>
                <c:pt idx="442">
                  <c:v>0.1409103025456484</c:v>
                </c:pt>
                <c:pt idx="443">
                  <c:v>0.102249303463429</c:v>
                </c:pt>
                <c:pt idx="444">
                  <c:v>3.5388576166164858E-2</c:v>
                </c:pt>
                <c:pt idx="445">
                  <c:v>4.2212436541104535E-2</c:v>
                </c:pt>
                <c:pt idx="446">
                  <c:v>0.10986371823773974</c:v>
                </c:pt>
                <c:pt idx="447">
                  <c:v>7.3381294964028773E-2</c:v>
                </c:pt>
                <c:pt idx="448">
                  <c:v>3.4682080924855488E-2</c:v>
                </c:pt>
                <c:pt idx="449">
                  <c:v>5.6414048059149721E-2</c:v>
                </c:pt>
                <c:pt idx="450">
                  <c:v>2.667610953729934E-2</c:v>
                </c:pt>
                <c:pt idx="451">
                  <c:v>3.8363171355498722E-2</c:v>
                </c:pt>
                <c:pt idx="452">
                  <c:v>5.246089278901183E-2</c:v>
                </c:pt>
                <c:pt idx="453">
                  <c:v>5.7191427357173211E-2</c:v>
                </c:pt>
                <c:pt idx="454">
                  <c:v>6.8510722739578464E-2</c:v>
                </c:pt>
                <c:pt idx="455">
                  <c:v>8.0344585091420534E-2</c:v>
                </c:pt>
                <c:pt idx="456">
                  <c:v>8.5999576735863933E-2</c:v>
                </c:pt>
                <c:pt idx="457">
                  <c:v>6.565132858068698E-2</c:v>
                </c:pt>
                <c:pt idx="458">
                  <c:v>7.9788838612368018E-2</c:v>
                </c:pt>
                <c:pt idx="459">
                  <c:v>6.3287379650025982E-2</c:v>
                </c:pt>
                <c:pt idx="460">
                  <c:v>2.6513477684489615E-2</c:v>
                </c:pt>
                <c:pt idx="461">
                  <c:v>9.62002004170842E-2</c:v>
                </c:pt>
                <c:pt idx="462">
                  <c:v>4.423284394202355E-2</c:v>
                </c:pt>
                <c:pt idx="463">
                  <c:v>3.2720331236220895E-2</c:v>
                </c:pt>
                <c:pt idx="464">
                  <c:v>0.18251740629215321</c:v>
                </c:pt>
                <c:pt idx="465">
                  <c:v>0.11161284638089784</c:v>
                </c:pt>
                <c:pt idx="466">
                  <c:v>3.7422360248447202E-2</c:v>
                </c:pt>
                <c:pt idx="467">
                  <c:v>0.17990334298236291</c:v>
                </c:pt>
                <c:pt idx="468">
                  <c:v>5.3412089983662182E-2</c:v>
                </c:pt>
                <c:pt idx="469">
                  <c:v>4.6962355572120758E-2</c:v>
                </c:pt>
                <c:pt idx="470">
                  <c:v>2.7845965019944768E-2</c:v>
                </c:pt>
                <c:pt idx="471">
                  <c:v>4.4990112063282794E-2</c:v>
                </c:pt>
                <c:pt idx="472">
                  <c:v>2.2673249222892669E-2</c:v>
                </c:pt>
                <c:pt idx="473">
                  <c:v>0.1306840770746274</c:v>
                </c:pt>
                <c:pt idx="474">
                  <c:v>6.0222672064777327E-2</c:v>
                </c:pt>
                <c:pt idx="475">
                  <c:v>2.9983172709193821E-2</c:v>
                </c:pt>
                <c:pt idx="476">
                  <c:v>6.2649866002162768E-2</c:v>
                </c:pt>
                <c:pt idx="477">
                  <c:v>7.0036420907569646E-2</c:v>
                </c:pt>
                <c:pt idx="478">
                  <c:v>5.1446945337620578E-2</c:v>
                </c:pt>
                <c:pt idx="479">
                  <c:v>7.8731002408437833E-2</c:v>
                </c:pt>
                <c:pt idx="480">
                  <c:v>6.6901170263140089E-2</c:v>
                </c:pt>
                <c:pt idx="481">
                  <c:v>5.9700918771383539E-2</c:v>
                </c:pt>
                <c:pt idx="482">
                  <c:v>6.940291460766107E-2</c:v>
                </c:pt>
                <c:pt idx="483">
                  <c:v>3.7032355915065721E-2</c:v>
                </c:pt>
                <c:pt idx="484">
                  <c:v>4.0015029118917904E-2</c:v>
                </c:pt>
                <c:pt idx="485">
                  <c:v>0.11148083767900008</c:v>
                </c:pt>
                <c:pt idx="486">
                  <c:v>5.7612695492180316E-2</c:v>
                </c:pt>
                <c:pt idx="487">
                  <c:v>0.12791322092149071</c:v>
                </c:pt>
                <c:pt idx="488">
                  <c:v>5.2384150436534584E-2</c:v>
                </c:pt>
                <c:pt idx="489">
                  <c:v>5.8840922531046717E-2</c:v>
                </c:pt>
                <c:pt idx="490">
                  <c:v>0.11012567948590032</c:v>
                </c:pt>
                <c:pt idx="491">
                  <c:v>0.11965919132573857</c:v>
                </c:pt>
                <c:pt idx="492">
                  <c:v>3.575929426591052E-2</c:v>
                </c:pt>
                <c:pt idx="493">
                  <c:v>4.753167822945932E-2</c:v>
                </c:pt>
                <c:pt idx="494">
                  <c:v>0.11080608934364862</c:v>
                </c:pt>
                <c:pt idx="495">
                  <c:v>3.2841411825491655E-2</c:v>
                </c:pt>
                <c:pt idx="496">
                  <c:v>8.4368454381606506E-2</c:v>
                </c:pt>
                <c:pt idx="497">
                  <c:v>1.7007706617060855E-2</c:v>
                </c:pt>
                <c:pt idx="498">
                  <c:v>5.0384052670080469E-2</c:v>
                </c:pt>
                <c:pt idx="499">
                  <c:v>0.15261941740217433</c:v>
                </c:pt>
                <c:pt idx="500">
                  <c:v>4.1321171918186843E-2</c:v>
                </c:pt>
                <c:pt idx="501">
                  <c:v>3.0775716694772345E-2</c:v>
                </c:pt>
                <c:pt idx="502">
                  <c:v>4.4450248106555235E-2</c:v>
                </c:pt>
                <c:pt idx="503">
                  <c:v>5.6264501160092809E-2</c:v>
                </c:pt>
                <c:pt idx="504">
                  <c:v>6.1151079136690649E-2</c:v>
                </c:pt>
                <c:pt idx="505">
                  <c:v>7.1520784921249678E-2</c:v>
                </c:pt>
                <c:pt idx="506">
                  <c:v>3.1035810550635347E-2</c:v>
                </c:pt>
                <c:pt idx="507">
                  <c:v>8.8020434227330774E-2</c:v>
                </c:pt>
                <c:pt idx="508">
                  <c:v>8.9887107485058348E-2</c:v>
                </c:pt>
                <c:pt idx="509">
                  <c:v>7.1208013255008279E-2</c:v>
                </c:pt>
                <c:pt idx="510">
                  <c:v>3.3381343726171311E-2</c:v>
                </c:pt>
                <c:pt idx="511">
                  <c:v>3.8057052714604966E-2</c:v>
                </c:pt>
                <c:pt idx="512">
                  <c:v>3.5743631881676251E-2</c:v>
                </c:pt>
                <c:pt idx="513">
                  <c:v>8.810810810810811E-2</c:v>
                </c:pt>
                <c:pt idx="514">
                  <c:v>0.15683722380265772</c:v>
                </c:pt>
                <c:pt idx="515">
                  <c:v>7.1253644314868803E-2</c:v>
                </c:pt>
                <c:pt idx="516">
                  <c:v>9.1909678883467599E-2</c:v>
                </c:pt>
                <c:pt idx="517">
                  <c:v>8.6200079082641365E-2</c:v>
                </c:pt>
                <c:pt idx="518">
                  <c:v>6.3969287840227748E-2</c:v>
                </c:pt>
                <c:pt idx="519">
                  <c:v>6.5235008103727718E-2</c:v>
                </c:pt>
                <c:pt idx="520">
                  <c:v>4.8317175061086154E-2</c:v>
                </c:pt>
                <c:pt idx="521">
                  <c:v>5.156875834445928E-2</c:v>
                </c:pt>
                <c:pt idx="522">
                  <c:v>3.9248735853599809E-2</c:v>
                </c:pt>
                <c:pt idx="523">
                  <c:v>0.10044059442909417</c:v>
                </c:pt>
                <c:pt idx="524">
                  <c:v>5.5941626129256426E-2</c:v>
                </c:pt>
                <c:pt idx="525">
                  <c:v>0.12187069189426784</c:v>
                </c:pt>
                <c:pt idx="526">
                  <c:v>6.1688311688311688E-2</c:v>
                </c:pt>
                <c:pt idx="527">
                  <c:v>5.8823529411764705E-2</c:v>
                </c:pt>
                <c:pt idx="528">
                  <c:v>0.14796543095952158</c:v>
                </c:pt>
                <c:pt idx="529">
                  <c:v>6.4717179403558353E-2</c:v>
                </c:pt>
                <c:pt idx="530">
                  <c:v>4.1714947856315181E-2</c:v>
                </c:pt>
                <c:pt idx="531">
                  <c:v>2.222378507630635E-2</c:v>
                </c:pt>
                <c:pt idx="532">
                  <c:v>7.5968992248062014E-2</c:v>
                </c:pt>
                <c:pt idx="533">
                  <c:v>9.241926486084423E-2</c:v>
                </c:pt>
                <c:pt idx="534">
                  <c:v>2.4895543175487464E-2</c:v>
                </c:pt>
                <c:pt idx="535">
                  <c:v>0.11281082642607942</c:v>
                </c:pt>
                <c:pt idx="536">
                  <c:v>6.1210394543727877E-2</c:v>
                </c:pt>
                <c:pt idx="537">
                  <c:v>4.233897273083112E-2</c:v>
                </c:pt>
                <c:pt idx="538">
                  <c:v>4.8566561559928965E-2</c:v>
                </c:pt>
                <c:pt idx="539">
                  <c:v>5.2930275654389625E-2</c:v>
                </c:pt>
                <c:pt idx="540">
                  <c:v>7.7061746586616089E-2</c:v>
                </c:pt>
                <c:pt idx="541">
                  <c:v>7.6418547895057962E-2</c:v>
                </c:pt>
                <c:pt idx="542">
                  <c:v>6.5064102564102569E-2</c:v>
                </c:pt>
                <c:pt idx="543">
                  <c:v>4.8531496133627575E-2</c:v>
                </c:pt>
                <c:pt idx="544">
                  <c:v>4.651574106827025E-2</c:v>
                </c:pt>
                <c:pt idx="545">
                  <c:v>4.8612703508369638E-2</c:v>
                </c:pt>
                <c:pt idx="546">
                  <c:v>7.5657894736842105E-2</c:v>
                </c:pt>
                <c:pt idx="547">
                  <c:v>5.8296644906634276E-2</c:v>
                </c:pt>
                <c:pt idx="548">
                  <c:v>6.6785495460368743E-2</c:v>
                </c:pt>
                <c:pt idx="549">
                  <c:v>9.0347376356897713E-2</c:v>
                </c:pt>
                <c:pt idx="550">
                  <c:v>6.6832032020745835E-2</c:v>
                </c:pt>
                <c:pt idx="551">
                  <c:v>0.14659648833275377</c:v>
                </c:pt>
                <c:pt idx="552">
                  <c:v>0.14269817241275601</c:v>
                </c:pt>
                <c:pt idx="553">
                  <c:v>6.3464837049742706E-2</c:v>
                </c:pt>
                <c:pt idx="554">
                  <c:v>0.13762787399979742</c:v>
                </c:pt>
                <c:pt idx="555">
                  <c:v>0.11170306080051706</c:v>
                </c:pt>
                <c:pt idx="556">
                  <c:v>6.4516129032258063E-2</c:v>
                </c:pt>
                <c:pt idx="557">
                  <c:v>6.0239874638379945E-2</c:v>
                </c:pt>
                <c:pt idx="558">
                  <c:v>6.118380062305296E-2</c:v>
                </c:pt>
                <c:pt idx="559">
                  <c:v>7.1244979919678708E-2</c:v>
                </c:pt>
                <c:pt idx="560">
                  <c:v>5.8026254414606515E-2</c:v>
                </c:pt>
                <c:pt idx="561">
                  <c:v>6.5862708719851573E-2</c:v>
                </c:pt>
                <c:pt idx="562">
                  <c:v>0.15062791923377497</c:v>
                </c:pt>
                <c:pt idx="563">
                  <c:v>6.8381742738589213E-2</c:v>
                </c:pt>
                <c:pt idx="564">
                  <c:v>0.14308920566161284</c:v>
                </c:pt>
                <c:pt idx="565">
                  <c:v>8.858520900321544E-2</c:v>
                </c:pt>
                <c:pt idx="566">
                  <c:v>8.6749253029845236E-2</c:v>
                </c:pt>
                <c:pt idx="567">
                  <c:v>3.7893273074917432E-2</c:v>
                </c:pt>
                <c:pt idx="568">
                  <c:v>1.6206896551724137E-2</c:v>
                </c:pt>
                <c:pt idx="569">
                  <c:v>7.9351840819730735E-2</c:v>
                </c:pt>
                <c:pt idx="570">
                  <c:v>8.424374848264142E-2</c:v>
                </c:pt>
                <c:pt idx="571">
                  <c:v>4.2857142857142858E-2</c:v>
                </c:pt>
                <c:pt idx="572">
                  <c:v>6.2869425040300908E-2</c:v>
                </c:pt>
                <c:pt idx="573">
                  <c:v>2.7758816837315133E-2</c:v>
                </c:pt>
                <c:pt idx="574">
                  <c:v>6.3898450946643717E-2</c:v>
                </c:pt>
                <c:pt idx="575">
                  <c:v>9.7299591490264736E-2</c:v>
                </c:pt>
                <c:pt idx="576">
                  <c:v>9.367765496103557E-2</c:v>
                </c:pt>
                <c:pt idx="577">
                  <c:v>9.7799634962482257E-2</c:v>
                </c:pt>
                <c:pt idx="578">
                  <c:v>6.3918376533253315E-2</c:v>
                </c:pt>
                <c:pt idx="579">
                  <c:v>5.6451612903225805E-2</c:v>
                </c:pt>
                <c:pt idx="580">
                  <c:v>0.10247068676716918</c:v>
                </c:pt>
                <c:pt idx="581">
                  <c:v>6.1628007992355141E-2</c:v>
                </c:pt>
                <c:pt idx="582">
                  <c:v>4.6820405310971348E-2</c:v>
                </c:pt>
                <c:pt idx="583">
                  <c:v>0.11304722060972436</c:v>
                </c:pt>
                <c:pt idx="584">
                  <c:v>6.9048137660640385E-2</c:v>
                </c:pt>
                <c:pt idx="585">
                  <c:v>4.4399368942979488E-2</c:v>
                </c:pt>
                <c:pt idx="586">
                  <c:v>0.10824306621779613</c:v>
                </c:pt>
                <c:pt idx="587">
                  <c:v>4.0716187294461553E-2</c:v>
                </c:pt>
                <c:pt idx="588">
                  <c:v>0.15066952078873769</c:v>
                </c:pt>
                <c:pt idx="589">
                  <c:v>8.7824919659927586E-2</c:v>
                </c:pt>
                <c:pt idx="590">
                  <c:v>8.8068569622162987E-2</c:v>
                </c:pt>
                <c:pt idx="591">
                  <c:v>7.155677203688332E-2</c:v>
                </c:pt>
                <c:pt idx="592">
                  <c:v>4.6419098143236075E-2</c:v>
                </c:pt>
                <c:pt idx="593">
                  <c:v>3.067700987306065E-2</c:v>
                </c:pt>
                <c:pt idx="594">
                  <c:v>4.5603879849812262E-2</c:v>
                </c:pt>
                <c:pt idx="595">
                  <c:v>4.2059219380888288E-2</c:v>
                </c:pt>
                <c:pt idx="596">
                  <c:v>3.5936927026035938E-2</c:v>
                </c:pt>
                <c:pt idx="597">
                  <c:v>4.1504079460801702E-2</c:v>
                </c:pt>
                <c:pt idx="598">
                  <c:v>4.7487138899881279E-2</c:v>
                </c:pt>
                <c:pt idx="599">
                  <c:v>6.5546218487394961E-2</c:v>
                </c:pt>
                <c:pt idx="600">
                  <c:v>5.6975077772728859E-2</c:v>
                </c:pt>
                <c:pt idx="601">
                  <c:v>3.9193842414421712E-2</c:v>
                </c:pt>
                <c:pt idx="602">
                  <c:v>8.3478610701354428E-2</c:v>
                </c:pt>
                <c:pt idx="603">
                  <c:v>3.8201029531292334E-2</c:v>
                </c:pt>
                <c:pt idx="604">
                  <c:v>7.6613640519290552E-2</c:v>
                </c:pt>
                <c:pt idx="605">
                  <c:v>3.0816959669079626E-2</c:v>
                </c:pt>
                <c:pt idx="606">
                  <c:v>8.0687334345870929E-2</c:v>
                </c:pt>
                <c:pt idx="607">
                  <c:v>0.10945350544948597</c:v>
                </c:pt>
                <c:pt idx="608">
                  <c:v>0.16197104608106602</c:v>
                </c:pt>
                <c:pt idx="609">
                  <c:v>7.6246334310850442E-2</c:v>
                </c:pt>
                <c:pt idx="610">
                  <c:v>5.8273572377158037E-2</c:v>
                </c:pt>
                <c:pt idx="611">
                  <c:v>5.1108322877457132E-2</c:v>
                </c:pt>
                <c:pt idx="612">
                  <c:v>5.7985757884028481E-2</c:v>
                </c:pt>
                <c:pt idx="613">
                  <c:v>0.14600294909088823</c:v>
                </c:pt>
                <c:pt idx="614">
                  <c:v>7.6037939994155784E-2</c:v>
                </c:pt>
                <c:pt idx="615">
                  <c:v>5.4607435358689595E-2</c:v>
                </c:pt>
                <c:pt idx="616">
                  <c:v>7.9968639749117998E-2</c:v>
                </c:pt>
                <c:pt idx="617">
                  <c:v>0.11319582105545138</c:v>
                </c:pt>
                <c:pt idx="618">
                  <c:v>5.7074130767548657E-2</c:v>
                </c:pt>
                <c:pt idx="619">
                  <c:v>1.8343093351705132E-2</c:v>
                </c:pt>
                <c:pt idx="620">
                  <c:v>3.6044973544973546E-2</c:v>
                </c:pt>
                <c:pt idx="621">
                  <c:v>7.457971341532213E-2</c:v>
                </c:pt>
                <c:pt idx="622">
                  <c:v>0.13561720472570507</c:v>
                </c:pt>
                <c:pt idx="623">
                  <c:v>1.948051948051948E-2</c:v>
                </c:pt>
                <c:pt idx="624">
                  <c:v>2.4070850049201422E-2</c:v>
                </c:pt>
                <c:pt idx="625">
                  <c:v>3.2885974797664176E-2</c:v>
                </c:pt>
                <c:pt idx="626">
                  <c:v>5.1774453582579948E-2</c:v>
                </c:pt>
                <c:pt idx="627">
                  <c:v>5.2193943479970785E-2</c:v>
                </c:pt>
                <c:pt idx="628">
                  <c:v>3.9865492677315165E-2</c:v>
                </c:pt>
                <c:pt idx="629">
                  <c:v>4.9488363669292768E-2</c:v>
                </c:pt>
                <c:pt idx="630">
                  <c:v>7.8010516334798718E-2</c:v>
                </c:pt>
                <c:pt idx="631">
                  <c:v>5.0212649197420772E-2</c:v>
                </c:pt>
                <c:pt idx="632">
                  <c:v>6.4013840830449822E-2</c:v>
                </c:pt>
                <c:pt idx="633">
                  <c:v>4.6928244572096191E-2</c:v>
                </c:pt>
                <c:pt idx="634">
                  <c:v>3.8090128755364806E-2</c:v>
                </c:pt>
                <c:pt idx="635">
                  <c:v>5.9296097934200459E-2</c:v>
                </c:pt>
                <c:pt idx="636">
                  <c:v>7.6490150933742646E-2</c:v>
                </c:pt>
                <c:pt idx="637">
                  <c:v>0.15740802532104145</c:v>
                </c:pt>
                <c:pt idx="638">
                  <c:v>5.9408838162130523E-2</c:v>
                </c:pt>
                <c:pt idx="639">
                  <c:v>3.9992247060343711E-2</c:v>
                </c:pt>
                <c:pt idx="640">
                  <c:v>3.2908089301246737E-2</c:v>
                </c:pt>
                <c:pt idx="641">
                  <c:v>0.1592371149625369</c:v>
                </c:pt>
                <c:pt idx="642">
                  <c:v>3.97904145476961E-2</c:v>
                </c:pt>
                <c:pt idx="643">
                  <c:v>2.9285796967241578E-2</c:v>
                </c:pt>
                <c:pt idx="644">
                  <c:v>5.1364365971107544E-2</c:v>
                </c:pt>
                <c:pt idx="645">
                  <c:v>9.2787469845820369E-2</c:v>
                </c:pt>
                <c:pt idx="646">
                  <c:v>9.4388855993014928E-2</c:v>
                </c:pt>
                <c:pt idx="647">
                  <c:v>7.0967741935483872E-2</c:v>
                </c:pt>
                <c:pt idx="648">
                  <c:v>7.7532655048520874E-2</c:v>
                </c:pt>
                <c:pt idx="649">
                  <c:v>3.51728320194057E-2</c:v>
                </c:pt>
                <c:pt idx="650">
                  <c:v>4.8117589960479788E-2</c:v>
                </c:pt>
                <c:pt idx="651">
                  <c:v>3.0850416074690482E-2</c:v>
                </c:pt>
                <c:pt idx="652">
                  <c:v>2.7191842447265819E-2</c:v>
                </c:pt>
                <c:pt idx="653">
                  <c:v>5.006625023660799E-2</c:v>
                </c:pt>
                <c:pt idx="654">
                  <c:v>5.0349922239502333E-2</c:v>
                </c:pt>
                <c:pt idx="655">
                  <c:v>0.13045719035743975</c:v>
                </c:pt>
                <c:pt idx="656">
                  <c:v>0.11124260355029586</c:v>
                </c:pt>
                <c:pt idx="657">
                  <c:v>3.0246141009595329E-2</c:v>
                </c:pt>
                <c:pt idx="658">
                  <c:v>6.4935064935064929E-2</c:v>
                </c:pt>
                <c:pt idx="659">
                  <c:v>7.6735537827703801E-2</c:v>
                </c:pt>
                <c:pt idx="660">
                  <c:v>9.0368915986359405E-2</c:v>
                </c:pt>
                <c:pt idx="661">
                  <c:v>6.668851384564968E-2</c:v>
                </c:pt>
                <c:pt idx="662">
                  <c:v>8.1956456904264841E-2</c:v>
                </c:pt>
                <c:pt idx="663">
                  <c:v>0.12892162659863832</c:v>
                </c:pt>
                <c:pt idx="664">
                  <c:v>5.6953013763644991E-2</c:v>
                </c:pt>
                <c:pt idx="665">
                  <c:v>3.2029726276144997E-2</c:v>
                </c:pt>
                <c:pt idx="666">
                  <c:v>7.6934370870650415E-2</c:v>
                </c:pt>
                <c:pt idx="667">
                  <c:v>8.9687324170082794E-2</c:v>
                </c:pt>
                <c:pt idx="668">
                  <c:v>4.6084764455648339E-2</c:v>
                </c:pt>
                <c:pt idx="669">
                  <c:v>9.2591742487536613E-2</c:v>
                </c:pt>
                <c:pt idx="670">
                  <c:v>0.13842697055310113</c:v>
                </c:pt>
                <c:pt idx="671">
                  <c:v>3.0774520759907161E-2</c:v>
                </c:pt>
                <c:pt idx="672">
                  <c:v>7.7198261451019726E-2</c:v>
                </c:pt>
                <c:pt idx="673">
                  <c:v>9.3736922862323893E-2</c:v>
                </c:pt>
                <c:pt idx="674">
                  <c:v>6.3413289219740834E-2</c:v>
                </c:pt>
                <c:pt idx="675">
                  <c:v>3.6398396999889705E-2</c:v>
                </c:pt>
                <c:pt idx="676">
                  <c:v>0.1062821833161689</c:v>
                </c:pt>
                <c:pt idx="677">
                  <c:v>3.8370918882531135E-2</c:v>
                </c:pt>
                <c:pt idx="678">
                  <c:v>3.4196161296002815E-2</c:v>
                </c:pt>
                <c:pt idx="679">
                  <c:v>6.4564770390678553E-2</c:v>
                </c:pt>
                <c:pt idx="680">
                  <c:v>5.6647899523603294E-2</c:v>
                </c:pt>
                <c:pt idx="681">
                  <c:v>9.1414494490495685E-2</c:v>
                </c:pt>
                <c:pt idx="682">
                  <c:v>4.9349442379182158E-2</c:v>
                </c:pt>
                <c:pt idx="683">
                  <c:v>3.7188672807915386E-2</c:v>
                </c:pt>
                <c:pt idx="684">
                  <c:v>8.8796442404246168E-2</c:v>
                </c:pt>
                <c:pt idx="685">
                  <c:v>6.6934788853777655E-2</c:v>
                </c:pt>
                <c:pt idx="686">
                  <c:v>1.8358531317494601E-2</c:v>
                </c:pt>
                <c:pt idx="687">
                  <c:v>0.11260752598890697</c:v>
                </c:pt>
                <c:pt idx="688">
                  <c:v>6.9122956041622427E-2</c:v>
                </c:pt>
                <c:pt idx="689">
                  <c:v>4.4159544159544158E-2</c:v>
                </c:pt>
                <c:pt idx="690">
                  <c:v>5.7762155828939662E-2</c:v>
                </c:pt>
                <c:pt idx="691">
                  <c:v>6.6547010907082704E-2</c:v>
                </c:pt>
                <c:pt idx="692">
                  <c:v>4.5518155704500254E-2</c:v>
                </c:pt>
                <c:pt idx="693">
                  <c:v>7.4203166337714691E-2</c:v>
                </c:pt>
                <c:pt idx="694">
                  <c:v>9.4792276184903448E-2</c:v>
                </c:pt>
                <c:pt idx="695">
                  <c:v>5.504703788456649E-2</c:v>
                </c:pt>
                <c:pt idx="696">
                  <c:v>2.1893814997263273E-2</c:v>
                </c:pt>
                <c:pt idx="697">
                  <c:v>4.4555061406014118E-2</c:v>
                </c:pt>
                <c:pt idx="698">
                  <c:v>5.8134519276534985E-2</c:v>
                </c:pt>
                <c:pt idx="699">
                  <c:v>6.3781321184510256E-2</c:v>
                </c:pt>
                <c:pt idx="700">
                  <c:v>0.16055401157228119</c:v>
                </c:pt>
                <c:pt idx="701">
                  <c:v>0.18367803242034655</c:v>
                </c:pt>
                <c:pt idx="702">
                  <c:v>4.0596883914856267E-2</c:v>
                </c:pt>
                <c:pt idx="703">
                  <c:v>2.6627529091099698E-2</c:v>
                </c:pt>
                <c:pt idx="704">
                  <c:v>5.831939799331104E-2</c:v>
                </c:pt>
                <c:pt idx="705">
                  <c:v>4.5925925925925926E-2</c:v>
                </c:pt>
                <c:pt idx="706">
                  <c:v>5.6150430921911729E-2</c:v>
                </c:pt>
                <c:pt idx="707">
                  <c:v>6.6499797050466783E-2</c:v>
                </c:pt>
                <c:pt idx="708">
                  <c:v>3.1956570405193639E-2</c:v>
                </c:pt>
                <c:pt idx="709">
                  <c:v>4.8952835007662183E-2</c:v>
                </c:pt>
                <c:pt idx="710">
                  <c:v>7.6563876651982374E-2</c:v>
                </c:pt>
                <c:pt idx="711">
                  <c:v>3.453947368421053E-2</c:v>
                </c:pt>
                <c:pt idx="712">
                  <c:v>6.1395005308590683E-2</c:v>
                </c:pt>
                <c:pt idx="713">
                  <c:v>1.3577606249418768E-2</c:v>
                </c:pt>
                <c:pt idx="714">
                  <c:v>5.7584873227331329E-2</c:v>
                </c:pt>
                <c:pt idx="715">
                  <c:v>3.5558966487592734E-2</c:v>
                </c:pt>
                <c:pt idx="716">
                  <c:v>8.3600999286224123E-2</c:v>
                </c:pt>
                <c:pt idx="717">
                  <c:v>7.5889328063241113E-2</c:v>
                </c:pt>
                <c:pt idx="718">
                  <c:v>3.1476666210483097E-2</c:v>
                </c:pt>
                <c:pt idx="719">
                  <c:v>4.8875432525951557E-2</c:v>
                </c:pt>
                <c:pt idx="720">
                  <c:v>4.7231543624161071E-2</c:v>
                </c:pt>
                <c:pt idx="721">
                  <c:v>5.7999636202998729E-2</c:v>
                </c:pt>
                <c:pt idx="722">
                  <c:v>3.9173405211141057E-2</c:v>
                </c:pt>
                <c:pt idx="723">
                  <c:v>3.6071753542181201E-2</c:v>
                </c:pt>
                <c:pt idx="724">
                  <c:v>9.0700489638101428E-2</c:v>
                </c:pt>
                <c:pt idx="725">
                  <c:v>7.7720997635573177E-2</c:v>
                </c:pt>
                <c:pt idx="726">
                  <c:v>0.11683891004158406</c:v>
                </c:pt>
                <c:pt idx="727">
                  <c:v>8.3365372292707934E-2</c:v>
                </c:pt>
                <c:pt idx="728">
                  <c:v>5.6229716382108087E-2</c:v>
                </c:pt>
                <c:pt idx="729">
                  <c:v>3.0942477427209091E-2</c:v>
                </c:pt>
                <c:pt idx="730">
                  <c:v>0.1059857367985256</c:v>
                </c:pt>
                <c:pt idx="731">
                  <c:v>9.2349242003784512E-2</c:v>
                </c:pt>
                <c:pt idx="732">
                  <c:v>3.7610619469026552E-2</c:v>
                </c:pt>
                <c:pt idx="733">
                  <c:v>0.13157207129967582</c:v>
                </c:pt>
                <c:pt idx="734">
                  <c:v>0.10243389949220802</c:v>
                </c:pt>
                <c:pt idx="735">
                  <c:v>7.0121092649957764E-2</c:v>
                </c:pt>
                <c:pt idx="736">
                  <c:v>8.4063950489943265E-2</c:v>
                </c:pt>
                <c:pt idx="737">
                  <c:v>6.5882245215639595E-2</c:v>
                </c:pt>
                <c:pt idx="738">
                  <c:v>3.2550791726367607E-2</c:v>
                </c:pt>
                <c:pt idx="739">
                  <c:v>6.2434643538168175E-2</c:v>
                </c:pt>
                <c:pt idx="740">
                  <c:v>6.0401310401310401E-2</c:v>
                </c:pt>
                <c:pt idx="741">
                  <c:v>2.299298519095869E-2</c:v>
                </c:pt>
                <c:pt idx="742">
                  <c:v>1.3555787278415016E-2</c:v>
                </c:pt>
                <c:pt idx="743">
                  <c:v>3.6798007246376808E-2</c:v>
                </c:pt>
                <c:pt idx="744">
                  <c:v>6.8466353677621286E-2</c:v>
                </c:pt>
                <c:pt idx="745">
                  <c:v>8.1091260418884176E-2</c:v>
                </c:pt>
                <c:pt idx="746">
                  <c:v>3.0961250060471193E-2</c:v>
                </c:pt>
                <c:pt idx="747">
                  <c:v>8.1761006289308172E-2</c:v>
                </c:pt>
                <c:pt idx="748">
                  <c:v>7.5443294721663209E-2</c:v>
                </c:pt>
                <c:pt idx="749">
                  <c:v>7.0331368949859918E-2</c:v>
                </c:pt>
                <c:pt idx="750">
                  <c:v>6.2595419847328249E-2</c:v>
                </c:pt>
                <c:pt idx="751">
                  <c:v>0.13273550266831174</c:v>
                </c:pt>
                <c:pt idx="752">
                  <c:v>4.5028440299782729E-2</c:v>
                </c:pt>
                <c:pt idx="753">
                  <c:v>8.4750128799587834E-2</c:v>
                </c:pt>
                <c:pt idx="754">
                  <c:v>3.9935327405012128E-2</c:v>
                </c:pt>
                <c:pt idx="755">
                  <c:v>7.2613660848954972E-2</c:v>
                </c:pt>
                <c:pt idx="756">
                  <c:v>7.9761502981212734E-2</c:v>
                </c:pt>
                <c:pt idx="757">
                  <c:v>8.7456796604978779E-2</c:v>
                </c:pt>
                <c:pt idx="758">
                  <c:v>3.8577912254160365E-2</c:v>
                </c:pt>
                <c:pt idx="759">
                  <c:v>7.7139375761552165E-2</c:v>
                </c:pt>
                <c:pt idx="760">
                  <c:v>0.10770280607331341</c:v>
                </c:pt>
                <c:pt idx="761">
                  <c:v>0.12756065049320181</c:v>
                </c:pt>
                <c:pt idx="762">
                  <c:v>5.6571978815599423E-2</c:v>
                </c:pt>
                <c:pt idx="763">
                  <c:v>1.7892046308825741E-2</c:v>
                </c:pt>
                <c:pt idx="764">
                  <c:v>0.14613898232305159</c:v>
                </c:pt>
                <c:pt idx="765">
                  <c:v>6.4601938058141739E-2</c:v>
                </c:pt>
                <c:pt idx="766">
                  <c:v>7.4781715459681555E-2</c:v>
                </c:pt>
                <c:pt idx="767">
                  <c:v>7.607323232323232E-2</c:v>
                </c:pt>
                <c:pt idx="768">
                  <c:v>3.5084650902476561E-2</c:v>
                </c:pt>
                <c:pt idx="769">
                  <c:v>0.13141413294693857</c:v>
                </c:pt>
                <c:pt idx="770">
                  <c:v>3.5593220338983052E-2</c:v>
                </c:pt>
                <c:pt idx="771">
                  <c:v>5.6920170051960324E-2</c:v>
                </c:pt>
                <c:pt idx="772">
                  <c:v>9.0683229813664598E-2</c:v>
                </c:pt>
                <c:pt idx="773">
                  <c:v>8.7429926692539892E-2</c:v>
                </c:pt>
                <c:pt idx="774">
                  <c:v>3.6076443057722306E-2</c:v>
                </c:pt>
                <c:pt idx="775">
                  <c:v>4.0945011977861608E-2</c:v>
                </c:pt>
                <c:pt idx="776">
                  <c:v>7.6680359588021677E-2</c:v>
                </c:pt>
                <c:pt idx="777">
                  <c:v>8.0806037186153312E-2</c:v>
                </c:pt>
                <c:pt idx="778">
                  <c:v>4.6095954844778929E-2</c:v>
                </c:pt>
                <c:pt idx="779">
                  <c:v>0.17030143213913632</c:v>
                </c:pt>
                <c:pt idx="780">
                  <c:v>7.3774685357617928E-2</c:v>
                </c:pt>
                <c:pt idx="781">
                  <c:v>7.5754769401741057E-2</c:v>
                </c:pt>
                <c:pt idx="782">
                  <c:v>5.7354477257620357E-2</c:v>
                </c:pt>
                <c:pt idx="783">
                  <c:v>3.9236479321314952E-2</c:v>
                </c:pt>
                <c:pt idx="784">
                  <c:v>4.2318059299191371E-2</c:v>
                </c:pt>
                <c:pt idx="785">
                  <c:v>0.14411725693062741</c:v>
                </c:pt>
                <c:pt idx="786">
                  <c:v>4.4938965107486226E-2</c:v>
                </c:pt>
                <c:pt idx="787">
                  <c:v>0.1441556765129838</c:v>
                </c:pt>
                <c:pt idx="788">
                  <c:v>0.14435481096700953</c:v>
                </c:pt>
                <c:pt idx="789">
                  <c:v>5.6933349230952668E-2</c:v>
                </c:pt>
                <c:pt idx="790">
                  <c:v>6.1674582005074488E-2</c:v>
                </c:pt>
                <c:pt idx="791">
                  <c:v>4.5519203413940258E-2</c:v>
                </c:pt>
                <c:pt idx="792">
                  <c:v>7.3109181325614198E-2</c:v>
                </c:pt>
                <c:pt idx="793">
                  <c:v>9.6158576745145649E-2</c:v>
                </c:pt>
                <c:pt idx="794">
                  <c:v>9.4521561680084312E-2</c:v>
                </c:pt>
                <c:pt idx="795">
                  <c:v>3.6729510598808246E-2</c:v>
                </c:pt>
                <c:pt idx="796">
                  <c:v>8.7908011869436198E-2</c:v>
                </c:pt>
                <c:pt idx="797">
                  <c:v>3.2707892239176459E-2</c:v>
                </c:pt>
                <c:pt idx="798">
                  <c:v>8.2764885033928801E-2</c:v>
                </c:pt>
                <c:pt idx="799">
                  <c:v>4.175982690227191E-2</c:v>
                </c:pt>
                <c:pt idx="800">
                  <c:v>9.7247968059318415E-2</c:v>
                </c:pt>
                <c:pt idx="801">
                  <c:v>5.0397275822928488E-2</c:v>
                </c:pt>
                <c:pt idx="802">
                  <c:v>6.4326375711574957E-2</c:v>
                </c:pt>
                <c:pt idx="803">
                  <c:v>3.1415241057542766E-2</c:v>
                </c:pt>
                <c:pt idx="804">
                  <c:v>8.3421330517423439E-2</c:v>
                </c:pt>
                <c:pt idx="805">
                  <c:v>7.0215615114406035E-2</c:v>
                </c:pt>
                <c:pt idx="806">
                  <c:v>3.2432253362485917E-2</c:v>
                </c:pt>
                <c:pt idx="807">
                  <c:v>6.1299000768639506E-2</c:v>
                </c:pt>
                <c:pt idx="808">
                  <c:v>6.652360515021459E-2</c:v>
                </c:pt>
                <c:pt idx="809">
                  <c:v>0.14804906094289</c:v>
                </c:pt>
                <c:pt idx="810">
                  <c:v>2.7121001390820583E-2</c:v>
                </c:pt>
                <c:pt idx="811">
                  <c:v>4.1021844795798651E-2</c:v>
                </c:pt>
                <c:pt idx="812">
                  <c:v>7.2467566505045211E-2</c:v>
                </c:pt>
                <c:pt idx="813">
                  <c:v>3.1633206728160605E-2</c:v>
                </c:pt>
                <c:pt idx="814">
                  <c:v>7.6216484607745785E-2</c:v>
                </c:pt>
                <c:pt idx="815">
                  <c:v>8.7568096338398752E-2</c:v>
                </c:pt>
                <c:pt idx="816">
                  <c:v>8.8855345911949685E-2</c:v>
                </c:pt>
                <c:pt idx="817">
                  <c:v>3.6818851251840944E-2</c:v>
                </c:pt>
                <c:pt idx="818">
                  <c:v>3.4522319566124324E-2</c:v>
                </c:pt>
                <c:pt idx="819">
                  <c:v>3.7173645765531206E-2</c:v>
                </c:pt>
                <c:pt idx="820">
                  <c:v>0.1015141428591663</c:v>
                </c:pt>
                <c:pt idx="821">
                  <c:v>3.5421888053467E-2</c:v>
                </c:pt>
                <c:pt idx="822">
                  <c:v>0.12492797211642517</c:v>
                </c:pt>
                <c:pt idx="823">
                  <c:v>4.6337566226557901E-2</c:v>
                </c:pt>
                <c:pt idx="824">
                  <c:v>2.9628937283858306E-2</c:v>
                </c:pt>
                <c:pt idx="825">
                  <c:v>3.2687991021324352E-2</c:v>
                </c:pt>
                <c:pt idx="826">
                  <c:v>9.0413578771216835E-2</c:v>
                </c:pt>
                <c:pt idx="827">
                  <c:v>6.2380300957592338E-2</c:v>
                </c:pt>
                <c:pt idx="828">
                  <c:v>2.913533834586466E-2</c:v>
                </c:pt>
                <c:pt idx="829">
                  <c:v>7.7154308617234463E-2</c:v>
                </c:pt>
                <c:pt idx="830">
                  <c:v>2.6781903542466921E-2</c:v>
                </c:pt>
                <c:pt idx="831">
                  <c:v>9.929508323312998E-2</c:v>
                </c:pt>
                <c:pt idx="832">
                  <c:v>5.9803921568627454E-2</c:v>
                </c:pt>
                <c:pt idx="833">
                  <c:v>7.4331020812685833E-2</c:v>
                </c:pt>
                <c:pt idx="834">
                  <c:v>5.6887298747763861E-2</c:v>
                </c:pt>
                <c:pt idx="835">
                  <c:v>5.2964426877470355E-2</c:v>
                </c:pt>
                <c:pt idx="836">
                  <c:v>5.2271231073074388E-2</c:v>
                </c:pt>
                <c:pt idx="837">
                  <c:v>5.872608299511306E-2</c:v>
                </c:pt>
                <c:pt idx="838">
                  <c:v>7.4416717386893899E-2</c:v>
                </c:pt>
                <c:pt idx="839">
                  <c:v>0.13487837412833889</c:v>
                </c:pt>
                <c:pt idx="840">
                  <c:v>3.4739203021973392E-2</c:v>
                </c:pt>
                <c:pt idx="841">
                  <c:v>7.2306254542937251E-2</c:v>
                </c:pt>
                <c:pt idx="842">
                  <c:v>4.0242976461655276E-2</c:v>
                </c:pt>
                <c:pt idx="843">
                  <c:v>0.13734408051656327</c:v>
                </c:pt>
                <c:pt idx="844">
                  <c:v>8.4309849875288251E-2</c:v>
                </c:pt>
                <c:pt idx="845">
                  <c:v>9.4152033834503226E-2</c:v>
                </c:pt>
                <c:pt idx="846">
                  <c:v>0.10729242657588285</c:v>
                </c:pt>
                <c:pt idx="847">
                  <c:v>5.5438448566610454E-2</c:v>
                </c:pt>
                <c:pt idx="848">
                  <c:v>5.2870847651775486E-2</c:v>
                </c:pt>
                <c:pt idx="849">
                  <c:v>5.3716137994906231E-2</c:v>
                </c:pt>
                <c:pt idx="850">
                  <c:v>0.1580610218450984</c:v>
                </c:pt>
                <c:pt idx="851">
                  <c:v>3.7499999999999999E-2</c:v>
                </c:pt>
                <c:pt idx="852">
                  <c:v>7.1695165350230017E-2</c:v>
                </c:pt>
                <c:pt idx="853">
                  <c:v>8.3959490362626593E-2</c:v>
                </c:pt>
                <c:pt idx="854">
                  <c:v>7.5903063557384548E-2</c:v>
                </c:pt>
                <c:pt idx="855">
                  <c:v>3.0179100267945284E-2</c:v>
                </c:pt>
                <c:pt idx="856">
                  <c:v>0.1376640950389259</c:v>
                </c:pt>
                <c:pt idx="857">
                  <c:v>0.13718092318575723</c:v>
                </c:pt>
                <c:pt idx="858">
                  <c:v>8.150732728541521E-2</c:v>
                </c:pt>
                <c:pt idx="859">
                  <c:v>7.2467902995720396E-2</c:v>
                </c:pt>
                <c:pt idx="860">
                  <c:v>9.1395423783435389E-2</c:v>
                </c:pt>
                <c:pt idx="861">
                  <c:v>9.1873995812843862E-2</c:v>
                </c:pt>
                <c:pt idx="862">
                  <c:v>3.8765822784810125E-2</c:v>
                </c:pt>
                <c:pt idx="863">
                  <c:v>5.1512398640691764E-2</c:v>
                </c:pt>
                <c:pt idx="864">
                  <c:v>2.2783908864364544E-2</c:v>
                </c:pt>
                <c:pt idx="865">
                  <c:v>0.13355091765945615</c:v>
                </c:pt>
                <c:pt idx="866">
                  <c:v>0.13926233858128428</c:v>
                </c:pt>
                <c:pt idx="867">
                  <c:v>2.8479600035711098E-2</c:v>
                </c:pt>
                <c:pt idx="868">
                  <c:v>2.1491782553729456E-2</c:v>
                </c:pt>
                <c:pt idx="869">
                  <c:v>0.13494854288764022</c:v>
                </c:pt>
                <c:pt idx="870">
                  <c:v>0.18217789912981708</c:v>
                </c:pt>
                <c:pt idx="871">
                  <c:v>4.451721046271391E-2</c:v>
                </c:pt>
                <c:pt idx="872">
                  <c:v>0.17316238263272293</c:v>
                </c:pt>
                <c:pt idx="873">
                  <c:v>4.3478260869565216E-2</c:v>
                </c:pt>
                <c:pt idx="874">
                  <c:v>2.5728309056364789E-2</c:v>
                </c:pt>
                <c:pt idx="875">
                  <c:v>8.6273811513834481E-2</c:v>
                </c:pt>
                <c:pt idx="876">
                  <c:v>3.851516207737888E-2</c:v>
                </c:pt>
                <c:pt idx="877">
                  <c:v>5.0292153589315526E-2</c:v>
                </c:pt>
                <c:pt idx="878">
                  <c:v>6.8283390724595203E-2</c:v>
                </c:pt>
                <c:pt idx="879">
                  <c:v>4.1458449009809363E-2</c:v>
                </c:pt>
                <c:pt idx="880">
                  <c:v>2.9205793410791023E-2</c:v>
                </c:pt>
                <c:pt idx="881">
                  <c:v>3.5404141616566465E-2</c:v>
                </c:pt>
                <c:pt idx="882">
                  <c:v>6.8595041322314046E-2</c:v>
                </c:pt>
                <c:pt idx="883">
                  <c:v>5.5530474040632057E-2</c:v>
                </c:pt>
                <c:pt idx="884">
                  <c:v>7.1671713970467399E-2</c:v>
                </c:pt>
                <c:pt idx="885">
                  <c:v>3.0777441736345845E-2</c:v>
                </c:pt>
                <c:pt idx="886">
                  <c:v>8.2025953902769705E-2</c:v>
                </c:pt>
                <c:pt idx="887">
                  <c:v>0.12103703878567551</c:v>
                </c:pt>
                <c:pt idx="888">
                  <c:v>3.157248516385535E-2</c:v>
                </c:pt>
                <c:pt idx="889">
                  <c:v>2.6987600291757841E-2</c:v>
                </c:pt>
                <c:pt idx="890">
                  <c:v>3.2258064516129031E-2</c:v>
                </c:pt>
                <c:pt idx="891">
                  <c:v>4.7569027611044416E-2</c:v>
                </c:pt>
                <c:pt idx="892">
                  <c:v>2.532504239683437E-2</c:v>
                </c:pt>
                <c:pt idx="893">
                  <c:v>0.10960328110529399</c:v>
                </c:pt>
                <c:pt idx="894">
                  <c:v>8.7862920077685175E-2</c:v>
                </c:pt>
                <c:pt idx="895">
                  <c:v>5.3568561980287026E-2</c:v>
                </c:pt>
                <c:pt idx="896">
                  <c:v>5.1948051948051951E-2</c:v>
                </c:pt>
                <c:pt idx="897">
                  <c:v>0.16011242820481486</c:v>
                </c:pt>
                <c:pt idx="898">
                  <c:v>8.4836989952839864E-2</c:v>
                </c:pt>
                <c:pt idx="899">
                  <c:v>3.7089668892994171E-2</c:v>
                </c:pt>
                <c:pt idx="900">
                  <c:v>5.8560781797542073E-2</c:v>
                </c:pt>
                <c:pt idx="901">
                  <c:v>0.10970064418340281</c:v>
                </c:pt>
                <c:pt idx="902">
                  <c:v>6.0074951735624785E-2</c:v>
                </c:pt>
                <c:pt idx="903">
                  <c:v>7.8187973561180069E-2</c:v>
                </c:pt>
                <c:pt idx="904">
                  <c:v>7.7485121678156854E-2</c:v>
                </c:pt>
                <c:pt idx="905">
                  <c:v>6.0726072607260727E-2</c:v>
                </c:pt>
                <c:pt idx="906">
                  <c:v>0.10815236268007476</c:v>
                </c:pt>
                <c:pt idx="907">
                  <c:v>5.2903225806451612E-2</c:v>
                </c:pt>
                <c:pt idx="908">
                  <c:v>9.3178192737168056E-2</c:v>
                </c:pt>
                <c:pt idx="909">
                  <c:v>5.2324685332648342E-2</c:v>
                </c:pt>
                <c:pt idx="910">
                  <c:v>7.6769078824440118E-2</c:v>
                </c:pt>
                <c:pt idx="911">
                  <c:v>4.9958953911105899E-2</c:v>
                </c:pt>
                <c:pt idx="912">
                  <c:v>0.18024279933349202</c:v>
                </c:pt>
                <c:pt idx="913">
                  <c:v>6.4340239912759001E-2</c:v>
                </c:pt>
                <c:pt idx="914">
                  <c:v>3.0340557275541795E-2</c:v>
                </c:pt>
                <c:pt idx="915">
                  <c:v>4.4228094575799723E-2</c:v>
                </c:pt>
                <c:pt idx="916">
                  <c:v>0.14193670096211056</c:v>
                </c:pt>
                <c:pt idx="917">
                  <c:v>5.553879797903627E-2</c:v>
                </c:pt>
                <c:pt idx="918">
                  <c:v>0.14836944127708096</c:v>
                </c:pt>
                <c:pt idx="919">
                  <c:v>7.601118906359268E-2</c:v>
                </c:pt>
                <c:pt idx="920">
                  <c:v>6.941128036228901E-2</c:v>
                </c:pt>
                <c:pt idx="921">
                  <c:v>0.10587764076255081</c:v>
                </c:pt>
                <c:pt idx="922">
                  <c:v>6.8736372131658188E-2</c:v>
                </c:pt>
                <c:pt idx="923">
                  <c:v>4.4697448872021928E-2</c:v>
                </c:pt>
                <c:pt idx="924">
                  <c:v>9.6133751306165097E-2</c:v>
                </c:pt>
                <c:pt idx="925">
                  <c:v>8.4189085971314609E-2</c:v>
                </c:pt>
                <c:pt idx="926">
                  <c:v>3.2812365080735685E-2</c:v>
                </c:pt>
                <c:pt idx="927">
                  <c:v>6.2452830188679247E-2</c:v>
                </c:pt>
                <c:pt idx="928">
                  <c:v>3.4025921774865651E-2</c:v>
                </c:pt>
                <c:pt idx="929">
                  <c:v>8.1264108352144468E-2</c:v>
                </c:pt>
                <c:pt idx="930">
                  <c:v>7.590503451759556E-2</c:v>
                </c:pt>
                <c:pt idx="931">
                  <c:v>6.6605208573404004E-2</c:v>
                </c:pt>
                <c:pt idx="932">
                  <c:v>6.1773573136500677E-2</c:v>
                </c:pt>
                <c:pt idx="933">
                  <c:v>6.7791093923498108E-2</c:v>
                </c:pt>
                <c:pt idx="934">
                  <c:v>7.4315718914087808E-2</c:v>
                </c:pt>
                <c:pt idx="935">
                  <c:v>9.5352785362910239E-2</c:v>
                </c:pt>
                <c:pt idx="936">
                  <c:v>6.7826977220373688E-2</c:v>
                </c:pt>
                <c:pt idx="937">
                  <c:v>4.1101202016285379E-2</c:v>
                </c:pt>
                <c:pt idx="938">
                  <c:v>6.2790540995755581E-2</c:v>
                </c:pt>
                <c:pt idx="939">
                  <c:v>4.3865126443958791E-2</c:v>
                </c:pt>
                <c:pt idx="940">
                  <c:v>0.1569261248110109</c:v>
                </c:pt>
                <c:pt idx="941">
                  <c:v>5.0296462891024331E-2</c:v>
                </c:pt>
                <c:pt idx="942">
                  <c:v>8.3785545023696686E-2</c:v>
                </c:pt>
                <c:pt idx="943">
                  <c:v>2.9651912333476579E-2</c:v>
                </c:pt>
                <c:pt idx="944">
                  <c:v>4.2571186918522692E-2</c:v>
                </c:pt>
                <c:pt idx="945">
                  <c:v>6.5616055969753714E-2</c:v>
                </c:pt>
                <c:pt idx="946">
                  <c:v>5.1206784083496409E-2</c:v>
                </c:pt>
                <c:pt idx="947">
                  <c:v>2.2456770716370984E-2</c:v>
                </c:pt>
                <c:pt idx="948">
                  <c:v>5.8413461538461539E-2</c:v>
                </c:pt>
                <c:pt idx="949">
                  <c:v>0.17913952352751716</c:v>
                </c:pt>
                <c:pt idx="950">
                  <c:v>2.322007853850094E-2</c:v>
                </c:pt>
                <c:pt idx="951">
                  <c:v>4.4716793640278238E-2</c:v>
                </c:pt>
                <c:pt idx="952">
                  <c:v>7.3975690251952025E-2</c:v>
                </c:pt>
                <c:pt idx="953">
                  <c:v>2.2959183673469389E-2</c:v>
                </c:pt>
                <c:pt idx="954">
                  <c:v>8.2837830970168211E-2</c:v>
                </c:pt>
                <c:pt idx="955">
                  <c:v>6.9840166782487834E-2</c:v>
                </c:pt>
                <c:pt idx="956">
                  <c:v>8.1709548928840567E-2</c:v>
                </c:pt>
                <c:pt idx="957">
                  <c:v>0.14127076959990403</c:v>
                </c:pt>
                <c:pt idx="958">
                  <c:v>2.8316645807259073E-2</c:v>
                </c:pt>
                <c:pt idx="959">
                  <c:v>6.9952881478796664E-2</c:v>
                </c:pt>
                <c:pt idx="960">
                  <c:v>3.6917562724014336E-2</c:v>
                </c:pt>
                <c:pt idx="961">
                  <c:v>4.5568846795609977E-2</c:v>
                </c:pt>
                <c:pt idx="962">
                  <c:v>0.10858101975248166</c:v>
                </c:pt>
                <c:pt idx="963">
                  <c:v>4.5514079895219384E-2</c:v>
                </c:pt>
                <c:pt idx="964">
                  <c:v>7.4843590862796447E-2</c:v>
                </c:pt>
                <c:pt idx="965">
                  <c:v>0.18428703447624573</c:v>
                </c:pt>
                <c:pt idx="966">
                  <c:v>6.5747126436781614E-2</c:v>
                </c:pt>
                <c:pt idx="967">
                  <c:v>2.2738605764436023E-2</c:v>
                </c:pt>
                <c:pt idx="968">
                  <c:v>5.8872861455887285E-2</c:v>
                </c:pt>
                <c:pt idx="969">
                  <c:v>3.5179968701095458E-2</c:v>
                </c:pt>
                <c:pt idx="970">
                  <c:v>4.1146424517593642E-2</c:v>
                </c:pt>
                <c:pt idx="971">
                  <c:v>4.0054619936276743E-2</c:v>
                </c:pt>
                <c:pt idx="972">
                  <c:v>5.6416140753490149E-2</c:v>
                </c:pt>
                <c:pt idx="973">
                  <c:v>6.1699650756693827E-2</c:v>
                </c:pt>
                <c:pt idx="974">
                  <c:v>5.8257848368283904E-2</c:v>
                </c:pt>
                <c:pt idx="975">
                  <c:v>7.9714576962283387E-2</c:v>
                </c:pt>
                <c:pt idx="976">
                  <c:v>0.12913763165972575</c:v>
                </c:pt>
                <c:pt idx="977">
                  <c:v>9.4177413051973427E-2</c:v>
                </c:pt>
                <c:pt idx="978">
                  <c:v>4.3366727909314659E-2</c:v>
                </c:pt>
                <c:pt idx="979">
                  <c:v>7.5520512504619927E-2</c:v>
                </c:pt>
                <c:pt idx="980">
                  <c:v>9.8353178804710784E-2</c:v>
                </c:pt>
                <c:pt idx="981">
                  <c:v>5.585606773283161E-2</c:v>
                </c:pt>
                <c:pt idx="982">
                  <c:v>6.5886432596445596E-2</c:v>
                </c:pt>
                <c:pt idx="983">
                  <c:v>7.1535022354694486E-2</c:v>
                </c:pt>
                <c:pt idx="984">
                  <c:v>3.515000887626487E-2</c:v>
                </c:pt>
                <c:pt idx="985">
                  <c:v>4.7037808871688E-2</c:v>
                </c:pt>
                <c:pt idx="986">
                  <c:v>4.8815506101938265E-2</c:v>
                </c:pt>
                <c:pt idx="987">
                  <c:v>5.3504578701837238E-2</c:v>
                </c:pt>
                <c:pt idx="988">
                  <c:v>5.8377278194097514E-2</c:v>
                </c:pt>
                <c:pt idx="989">
                  <c:v>3.3409011526370942E-2</c:v>
                </c:pt>
                <c:pt idx="990">
                  <c:v>3.2038446135362435E-2</c:v>
                </c:pt>
                <c:pt idx="991">
                  <c:v>2.6794742163801819E-2</c:v>
                </c:pt>
                <c:pt idx="992">
                  <c:v>5.5018416206261508E-2</c:v>
                </c:pt>
                <c:pt idx="993">
                  <c:v>3.5359499826328585E-2</c:v>
                </c:pt>
                <c:pt idx="994">
                  <c:v>4.8105436573311365E-2</c:v>
                </c:pt>
                <c:pt idx="995">
                  <c:v>9.3023255813953487E-2</c:v>
                </c:pt>
                <c:pt idx="996">
                  <c:v>6.852706200067514E-2</c:v>
                </c:pt>
                <c:pt idx="997">
                  <c:v>2.3820981713185755E-2</c:v>
                </c:pt>
              </c:numCache>
            </c:numRef>
          </c:yVal>
          <c:smooth val="0"/>
          <c:extLst>
            <c:ext xmlns:c16="http://schemas.microsoft.com/office/drawing/2014/chart" uri="{C3380CC4-5D6E-409C-BE32-E72D297353CC}">
              <c16:uniqueId val="{00000000-65B8-4FA8-A807-31CE93559ABC}"/>
            </c:ext>
          </c:extLst>
        </c:ser>
        <c:dLbls>
          <c:showLegendKey val="0"/>
          <c:showVal val="0"/>
          <c:showCatName val="0"/>
          <c:showSerName val="0"/>
          <c:showPercent val="0"/>
          <c:showBubbleSize val="0"/>
        </c:dLbls>
        <c:axId val="506905248"/>
        <c:axId val="290004880"/>
      </c:scatterChart>
      <c:valAx>
        <c:axId val="5069052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04880"/>
        <c:crosses val="autoZero"/>
        <c:crossBetween val="midCat"/>
      </c:valAx>
      <c:valAx>
        <c:axId val="290004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905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[0]!ImpressionsRange</c:f>
              <c:numCache>
                <c:formatCode>#,##0</c:formatCode>
                <c:ptCount val="998"/>
                <c:pt idx="0">
                  <c:v>24500</c:v>
                </c:pt>
                <c:pt idx="1">
                  <c:v>23105</c:v>
                </c:pt>
                <c:pt idx="2">
                  <c:v>24700</c:v>
                </c:pt>
                <c:pt idx="3">
                  <c:v>400879</c:v>
                </c:pt>
                <c:pt idx="4">
                  <c:v>13259</c:v>
                </c:pt>
                <c:pt idx="5">
                  <c:v>6469</c:v>
                </c:pt>
                <c:pt idx="6">
                  <c:v>35618</c:v>
                </c:pt>
                <c:pt idx="7">
                  <c:v>9468</c:v>
                </c:pt>
                <c:pt idx="8">
                  <c:v>99396</c:v>
                </c:pt>
                <c:pt idx="9">
                  <c:v>27570</c:v>
                </c:pt>
                <c:pt idx="10">
                  <c:v>49204</c:v>
                </c:pt>
                <c:pt idx="11">
                  <c:v>491623</c:v>
                </c:pt>
                <c:pt idx="12">
                  <c:v>64155</c:v>
                </c:pt>
                <c:pt idx="13">
                  <c:v>28492</c:v>
                </c:pt>
                <c:pt idx="14">
                  <c:v>10536</c:v>
                </c:pt>
                <c:pt idx="15">
                  <c:v>18688</c:v>
                </c:pt>
                <c:pt idx="16">
                  <c:v>21204</c:v>
                </c:pt>
                <c:pt idx="17">
                  <c:v>28864</c:v>
                </c:pt>
                <c:pt idx="18">
                  <c:v>46840</c:v>
                </c:pt>
                <c:pt idx="19">
                  <c:v>1778</c:v>
                </c:pt>
                <c:pt idx="20">
                  <c:v>156565</c:v>
                </c:pt>
                <c:pt idx="21">
                  <c:v>24262</c:v>
                </c:pt>
                <c:pt idx="22">
                  <c:v>6057</c:v>
                </c:pt>
                <c:pt idx="23">
                  <c:v>28124</c:v>
                </c:pt>
                <c:pt idx="24">
                  <c:v>17059</c:v>
                </c:pt>
                <c:pt idx="25">
                  <c:v>5218</c:v>
                </c:pt>
                <c:pt idx="26">
                  <c:v>343265</c:v>
                </c:pt>
                <c:pt idx="27">
                  <c:v>272700</c:v>
                </c:pt>
                <c:pt idx="28">
                  <c:v>3041</c:v>
                </c:pt>
                <c:pt idx="29">
                  <c:v>458030</c:v>
                </c:pt>
                <c:pt idx="30">
                  <c:v>35777</c:v>
                </c:pt>
                <c:pt idx="31">
                  <c:v>15233</c:v>
                </c:pt>
                <c:pt idx="32">
                  <c:v>47861</c:v>
                </c:pt>
                <c:pt idx="33">
                  <c:v>31340</c:v>
                </c:pt>
                <c:pt idx="34">
                  <c:v>39118</c:v>
                </c:pt>
                <c:pt idx="35">
                  <c:v>24021</c:v>
                </c:pt>
                <c:pt idx="36">
                  <c:v>366792</c:v>
                </c:pt>
                <c:pt idx="37">
                  <c:v>326182</c:v>
                </c:pt>
                <c:pt idx="38">
                  <c:v>735</c:v>
                </c:pt>
                <c:pt idx="39">
                  <c:v>397172</c:v>
                </c:pt>
                <c:pt idx="40">
                  <c:v>22792</c:v>
                </c:pt>
                <c:pt idx="41">
                  <c:v>22661</c:v>
                </c:pt>
                <c:pt idx="42">
                  <c:v>55310</c:v>
                </c:pt>
                <c:pt idx="43">
                  <c:v>105049</c:v>
                </c:pt>
                <c:pt idx="44">
                  <c:v>29553</c:v>
                </c:pt>
                <c:pt idx="45">
                  <c:v>58726</c:v>
                </c:pt>
                <c:pt idx="46">
                  <c:v>117780</c:v>
                </c:pt>
                <c:pt idx="47">
                  <c:v>457636</c:v>
                </c:pt>
                <c:pt idx="48">
                  <c:v>13316</c:v>
                </c:pt>
                <c:pt idx="49">
                  <c:v>8646</c:v>
                </c:pt>
                <c:pt idx="50">
                  <c:v>13675</c:v>
                </c:pt>
                <c:pt idx="51">
                  <c:v>48287</c:v>
                </c:pt>
                <c:pt idx="52">
                  <c:v>117992</c:v>
                </c:pt>
                <c:pt idx="53">
                  <c:v>506642</c:v>
                </c:pt>
                <c:pt idx="54">
                  <c:v>69218</c:v>
                </c:pt>
                <c:pt idx="55">
                  <c:v>14531</c:v>
                </c:pt>
                <c:pt idx="56">
                  <c:v>8393</c:v>
                </c:pt>
                <c:pt idx="57">
                  <c:v>77758</c:v>
                </c:pt>
                <c:pt idx="58">
                  <c:v>5028</c:v>
                </c:pt>
                <c:pt idx="59">
                  <c:v>168937</c:v>
                </c:pt>
                <c:pt idx="60">
                  <c:v>93930</c:v>
                </c:pt>
                <c:pt idx="61">
                  <c:v>5838</c:v>
                </c:pt>
                <c:pt idx="62">
                  <c:v>37520</c:v>
                </c:pt>
                <c:pt idx="63">
                  <c:v>71516</c:v>
                </c:pt>
                <c:pt idx="64">
                  <c:v>299132</c:v>
                </c:pt>
                <c:pt idx="65">
                  <c:v>8127</c:v>
                </c:pt>
                <c:pt idx="66">
                  <c:v>407702</c:v>
                </c:pt>
                <c:pt idx="67">
                  <c:v>535523</c:v>
                </c:pt>
                <c:pt idx="68">
                  <c:v>15843</c:v>
                </c:pt>
                <c:pt idx="69">
                  <c:v>11965</c:v>
                </c:pt>
                <c:pt idx="70">
                  <c:v>11571</c:v>
                </c:pt>
                <c:pt idx="71">
                  <c:v>15181</c:v>
                </c:pt>
                <c:pt idx="72">
                  <c:v>5673</c:v>
                </c:pt>
                <c:pt idx="73">
                  <c:v>262599</c:v>
                </c:pt>
                <c:pt idx="74">
                  <c:v>12143</c:v>
                </c:pt>
                <c:pt idx="75">
                  <c:v>358986</c:v>
                </c:pt>
                <c:pt idx="76">
                  <c:v>12649</c:v>
                </c:pt>
                <c:pt idx="77">
                  <c:v>92618</c:v>
                </c:pt>
                <c:pt idx="78">
                  <c:v>49374</c:v>
                </c:pt>
                <c:pt idx="79">
                  <c:v>36161</c:v>
                </c:pt>
                <c:pt idx="80">
                  <c:v>70967</c:v>
                </c:pt>
                <c:pt idx="81">
                  <c:v>21460</c:v>
                </c:pt>
                <c:pt idx="82">
                  <c:v>50767</c:v>
                </c:pt>
                <c:pt idx="83">
                  <c:v>9624</c:v>
                </c:pt>
                <c:pt idx="84">
                  <c:v>50240</c:v>
                </c:pt>
                <c:pt idx="85">
                  <c:v>17356</c:v>
                </c:pt>
                <c:pt idx="86">
                  <c:v>5440</c:v>
                </c:pt>
                <c:pt idx="87">
                  <c:v>68920</c:v>
                </c:pt>
                <c:pt idx="88">
                  <c:v>19972</c:v>
                </c:pt>
                <c:pt idx="89">
                  <c:v>108139</c:v>
                </c:pt>
                <c:pt idx="90">
                  <c:v>22108</c:v>
                </c:pt>
                <c:pt idx="91">
                  <c:v>16372</c:v>
                </c:pt>
                <c:pt idx="92">
                  <c:v>108397</c:v>
                </c:pt>
                <c:pt idx="93">
                  <c:v>16567</c:v>
                </c:pt>
                <c:pt idx="94">
                  <c:v>96621</c:v>
                </c:pt>
                <c:pt idx="95">
                  <c:v>296961</c:v>
                </c:pt>
                <c:pt idx="96">
                  <c:v>119866</c:v>
                </c:pt>
                <c:pt idx="97">
                  <c:v>33648</c:v>
                </c:pt>
                <c:pt idx="98">
                  <c:v>77225</c:v>
                </c:pt>
                <c:pt idx="99">
                  <c:v>730</c:v>
                </c:pt>
                <c:pt idx="100">
                  <c:v>302206</c:v>
                </c:pt>
                <c:pt idx="101">
                  <c:v>543651</c:v>
                </c:pt>
                <c:pt idx="102">
                  <c:v>11879</c:v>
                </c:pt>
                <c:pt idx="103">
                  <c:v>42983</c:v>
                </c:pt>
                <c:pt idx="104">
                  <c:v>5423</c:v>
                </c:pt>
                <c:pt idx="105">
                  <c:v>27596</c:v>
                </c:pt>
                <c:pt idx="106">
                  <c:v>175808</c:v>
                </c:pt>
                <c:pt idx="107">
                  <c:v>49085</c:v>
                </c:pt>
                <c:pt idx="108">
                  <c:v>32982</c:v>
                </c:pt>
                <c:pt idx="109">
                  <c:v>36143</c:v>
                </c:pt>
                <c:pt idx="110">
                  <c:v>26260</c:v>
                </c:pt>
                <c:pt idx="111">
                  <c:v>380871</c:v>
                </c:pt>
                <c:pt idx="112">
                  <c:v>8059</c:v>
                </c:pt>
                <c:pt idx="113">
                  <c:v>5867</c:v>
                </c:pt>
                <c:pt idx="114">
                  <c:v>257439</c:v>
                </c:pt>
                <c:pt idx="115">
                  <c:v>280763</c:v>
                </c:pt>
                <c:pt idx="116">
                  <c:v>29237</c:v>
                </c:pt>
                <c:pt idx="117">
                  <c:v>7249</c:v>
                </c:pt>
                <c:pt idx="118">
                  <c:v>424</c:v>
                </c:pt>
                <c:pt idx="119">
                  <c:v>291125</c:v>
                </c:pt>
                <c:pt idx="120">
                  <c:v>21641</c:v>
                </c:pt>
                <c:pt idx="121">
                  <c:v>20634</c:v>
                </c:pt>
                <c:pt idx="122">
                  <c:v>75797</c:v>
                </c:pt>
                <c:pt idx="123">
                  <c:v>68263</c:v>
                </c:pt>
                <c:pt idx="124">
                  <c:v>11209</c:v>
                </c:pt>
                <c:pt idx="125">
                  <c:v>23196</c:v>
                </c:pt>
                <c:pt idx="126">
                  <c:v>94201</c:v>
                </c:pt>
                <c:pt idx="127">
                  <c:v>367485</c:v>
                </c:pt>
                <c:pt idx="128">
                  <c:v>29086</c:v>
                </c:pt>
                <c:pt idx="129">
                  <c:v>340086</c:v>
                </c:pt>
                <c:pt idx="130">
                  <c:v>32142</c:v>
                </c:pt>
                <c:pt idx="131">
                  <c:v>30650</c:v>
                </c:pt>
                <c:pt idx="132">
                  <c:v>27037</c:v>
                </c:pt>
                <c:pt idx="133">
                  <c:v>23100</c:v>
                </c:pt>
                <c:pt idx="134">
                  <c:v>16363</c:v>
                </c:pt>
                <c:pt idx="135">
                  <c:v>93162</c:v>
                </c:pt>
                <c:pt idx="136">
                  <c:v>75048</c:v>
                </c:pt>
                <c:pt idx="137">
                  <c:v>44099</c:v>
                </c:pt>
                <c:pt idx="138">
                  <c:v>239851</c:v>
                </c:pt>
                <c:pt idx="139">
                  <c:v>18718</c:v>
                </c:pt>
                <c:pt idx="140">
                  <c:v>22710</c:v>
                </c:pt>
                <c:pt idx="141">
                  <c:v>334929</c:v>
                </c:pt>
                <c:pt idx="142">
                  <c:v>116642</c:v>
                </c:pt>
                <c:pt idx="143">
                  <c:v>343312</c:v>
                </c:pt>
                <c:pt idx="144">
                  <c:v>15197</c:v>
                </c:pt>
                <c:pt idx="145">
                  <c:v>293856</c:v>
                </c:pt>
                <c:pt idx="146">
                  <c:v>5511</c:v>
                </c:pt>
                <c:pt idx="147">
                  <c:v>27066</c:v>
                </c:pt>
                <c:pt idx="148">
                  <c:v>19890</c:v>
                </c:pt>
                <c:pt idx="149">
                  <c:v>25081</c:v>
                </c:pt>
                <c:pt idx="150">
                  <c:v>104239</c:v>
                </c:pt>
                <c:pt idx="151">
                  <c:v>384927</c:v>
                </c:pt>
                <c:pt idx="152">
                  <c:v>20119</c:v>
                </c:pt>
                <c:pt idx="153">
                  <c:v>3246</c:v>
                </c:pt>
                <c:pt idx="154">
                  <c:v>30091</c:v>
                </c:pt>
                <c:pt idx="155">
                  <c:v>11667</c:v>
                </c:pt>
                <c:pt idx="156">
                  <c:v>194808</c:v>
                </c:pt>
                <c:pt idx="157">
                  <c:v>408495</c:v>
                </c:pt>
                <c:pt idx="158">
                  <c:v>26303</c:v>
                </c:pt>
                <c:pt idx="159">
                  <c:v>11727</c:v>
                </c:pt>
                <c:pt idx="160">
                  <c:v>471</c:v>
                </c:pt>
                <c:pt idx="161">
                  <c:v>20026</c:v>
                </c:pt>
                <c:pt idx="162">
                  <c:v>20181</c:v>
                </c:pt>
                <c:pt idx="163">
                  <c:v>36009</c:v>
                </c:pt>
                <c:pt idx="164">
                  <c:v>10578</c:v>
                </c:pt>
                <c:pt idx="165">
                  <c:v>48103</c:v>
                </c:pt>
                <c:pt idx="166">
                  <c:v>14655</c:v>
                </c:pt>
                <c:pt idx="167">
                  <c:v>93884</c:v>
                </c:pt>
                <c:pt idx="168">
                  <c:v>45076</c:v>
                </c:pt>
                <c:pt idx="169">
                  <c:v>35635</c:v>
                </c:pt>
                <c:pt idx="170">
                  <c:v>15434</c:v>
                </c:pt>
                <c:pt idx="171">
                  <c:v>21321</c:v>
                </c:pt>
                <c:pt idx="172">
                  <c:v>22187</c:v>
                </c:pt>
                <c:pt idx="173">
                  <c:v>9378</c:v>
                </c:pt>
                <c:pt idx="174">
                  <c:v>44531</c:v>
                </c:pt>
                <c:pt idx="175">
                  <c:v>1833</c:v>
                </c:pt>
                <c:pt idx="176">
                  <c:v>163262</c:v>
                </c:pt>
                <c:pt idx="177">
                  <c:v>10011</c:v>
                </c:pt>
                <c:pt idx="178">
                  <c:v>6937</c:v>
                </c:pt>
                <c:pt idx="179">
                  <c:v>13744</c:v>
                </c:pt>
                <c:pt idx="180">
                  <c:v>109761</c:v>
                </c:pt>
                <c:pt idx="181">
                  <c:v>19511</c:v>
                </c:pt>
                <c:pt idx="182">
                  <c:v>44075</c:v>
                </c:pt>
                <c:pt idx="183">
                  <c:v>430687</c:v>
                </c:pt>
                <c:pt idx="184">
                  <c:v>180438</c:v>
                </c:pt>
                <c:pt idx="185">
                  <c:v>14797</c:v>
                </c:pt>
                <c:pt idx="186">
                  <c:v>69757</c:v>
                </c:pt>
                <c:pt idx="187">
                  <c:v>38300</c:v>
                </c:pt>
                <c:pt idx="188">
                  <c:v>81586</c:v>
                </c:pt>
                <c:pt idx="189">
                  <c:v>97177</c:v>
                </c:pt>
                <c:pt idx="190">
                  <c:v>18258</c:v>
                </c:pt>
                <c:pt idx="191">
                  <c:v>157187</c:v>
                </c:pt>
                <c:pt idx="192">
                  <c:v>8356</c:v>
                </c:pt>
                <c:pt idx="193">
                  <c:v>34583</c:v>
                </c:pt>
                <c:pt idx="194">
                  <c:v>36439</c:v>
                </c:pt>
                <c:pt idx="195">
                  <c:v>50268</c:v>
                </c:pt>
                <c:pt idx="196">
                  <c:v>185050</c:v>
                </c:pt>
                <c:pt idx="197">
                  <c:v>8500</c:v>
                </c:pt>
                <c:pt idx="198">
                  <c:v>91908</c:v>
                </c:pt>
                <c:pt idx="199">
                  <c:v>413749</c:v>
                </c:pt>
                <c:pt idx="200">
                  <c:v>9232</c:v>
                </c:pt>
                <c:pt idx="201">
                  <c:v>11698</c:v>
                </c:pt>
                <c:pt idx="202">
                  <c:v>224484</c:v>
                </c:pt>
                <c:pt idx="203">
                  <c:v>199572</c:v>
                </c:pt>
                <c:pt idx="204">
                  <c:v>4192</c:v>
                </c:pt>
                <c:pt idx="205">
                  <c:v>411</c:v>
                </c:pt>
                <c:pt idx="206">
                  <c:v>317455</c:v>
                </c:pt>
                <c:pt idx="207">
                  <c:v>23747</c:v>
                </c:pt>
                <c:pt idx="208">
                  <c:v>272386</c:v>
                </c:pt>
                <c:pt idx="209">
                  <c:v>20635</c:v>
                </c:pt>
                <c:pt idx="210">
                  <c:v>512834</c:v>
                </c:pt>
                <c:pt idx="211">
                  <c:v>81281</c:v>
                </c:pt>
                <c:pt idx="212">
                  <c:v>9256</c:v>
                </c:pt>
                <c:pt idx="213">
                  <c:v>19703</c:v>
                </c:pt>
                <c:pt idx="214">
                  <c:v>55527</c:v>
                </c:pt>
                <c:pt idx="215">
                  <c:v>2387</c:v>
                </c:pt>
                <c:pt idx="216">
                  <c:v>84477</c:v>
                </c:pt>
                <c:pt idx="217">
                  <c:v>21725</c:v>
                </c:pt>
                <c:pt idx="218">
                  <c:v>19152</c:v>
                </c:pt>
                <c:pt idx="219">
                  <c:v>69366</c:v>
                </c:pt>
                <c:pt idx="220">
                  <c:v>309128</c:v>
                </c:pt>
                <c:pt idx="221">
                  <c:v>35463</c:v>
                </c:pt>
                <c:pt idx="222">
                  <c:v>346346</c:v>
                </c:pt>
                <c:pt idx="223">
                  <c:v>1243</c:v>
                </c:pt>
                <c:pt idx="224">
                  <c:v>67913</c:v>
                </c:pt>
                <c:pt idx="225">
                  <c:v>22677</c:v>
                </c:pt>
                <c:pt idx="226">
                  <c:v>69409</c:v>
                </c:pt>
                <c:pt idx="227">
                  <c:v>84665</c:v>
                </c:pt>
                <c:pt idx="228">
                  <c:v>69804</c:v>
                </c:pt>
                <c:pt idx="229">
                  <c:v>12708</c:v>
                </c:pt>
                <c:pt idx="230">
                  <c:v>25969</c:v>
                </c:pt>
                <c:pt idx="231">
                  <c:v>24835</c:v>
                </c:pt>
                <c:pt idx="232">
                  <c:v>69623</c:v>
                </c:pt>
                <c:pt idx="233">
                  <c:v>36545</c:v>
                </c:pt>
                <c:pt idx="234">
                  <c:v>12513</c:v>
                </c:pt>
                <c:pt idx="235">
                  <c:v>33475</c:v>
                </c:pt>
                <c:pt idx="236">
                  <c:v>32149</c:v>
                </c:pt>
                <c:pt idx="237">
                  <c:v>59311</c:v>
                </c:pt>
                <c:pt idx="238">
                  <c:v>6650</c:v>
                </c:pt>
                <c:pt idx="239">
                  <c:v>1657</c:v>
                </c:pt>
                <c:pt idx="240">
                  <c:v>108505</c:v>
                </c:pt>
                <c:pt idx="241">
                  <c:v>51565</c:v>
                </c:pt>
                <c:pt idx="242">
                  <c:v>178037</c:v>
                </c:pt>
                <c:pt idx="243">
                  <c:v>113603</c:v>
                </c:pt>
                <c:pt idx="244">
                  <c:v>412062</c:v>
                </c:pt>
                <c:pt idx="245">
                  <c:v>167258</c:v>
                </c:pt>
                <c:pt idx="246">
                  <c:v>8453</c:v>
                </c:pt>
                <c:pt idx="247">
                  <c:v>11670</c:v>
                </c:pt>
                <c:pt idx="248">
                  <c:v>50804</c:v>
                </c:pt>
                <c:pt idx="249">
                  <c:v>19570</c:v>
                </c:pt>
                <c:pt idx="250">
                  <c:v>25198</c:v>
                </c:pt>
                <c:pt idx="251">
                  <c:v>1247</c:v>
                </c:pt>
                <c:pt idx="252">
                  <c:v>46649</c:v>
                </c:pt>
                <c:pt idx="253">
                  <c:v>35125</c:v>
                </c:pt>
                <c:pt idx="254">
                  <c:v>11249</c:v>
                </c:pt>
                <c:pt idx="255">
                  <c:v>24441</c:v>
                </c:pt>
                <c:pt idx="256">
                  <c:v>2648</c:v>
                </c:pt>
                <c:pt idx="257">
                  <c:v>8413</c:v>
                </c:pt>
                <c:pt idx="258">
                  <c:v>87465</c:v>
                </c:pt>
                <c:pt idx="259">
                  <c:v>238988</c:v>
                </c:pt>
                <c:pt idx="260">
                  <c:v>10739</c:v>
                </c:pt>
                <c:pt idx="261">
                  <c:v>13057</c:v>
                </c:pt>
                <c:pt idx="262">
                  <c:v>27725</c:v>
                </c:pt>
                <c:pt idx="263">
                  <c:v>57682</c:v>
                </c:pt>
                <c:pt idx="264">
                  <c:v>17139</c:v>
                </c:pt>
                <c:pt idx="265">
                  <c:v>189115</c:v>
                </c:pt>
                <c:pt idx="266">
                  <c:v>44207</c:v>
                </c:pt>
                <c:pt idx="267">
                  <c:v>15615</c:v>
                </c:pt>
                <c:pt idx="268">
                  <c:v>14552</c:v>
                </c:pt>
                <c:pt idx="269">
                  <c:v>3215</c:v>
                </c:pt>
                <c:pt idx="270">
                  <c:v>22166</c:v>
                </c:pt>
                <c:pt idx="271">
                  <c:v>115946</c:v>
                </c:pt>
                <c:pt idx="272">
                  <c:v>49795</c:v>
                </c:pt>
                <c:pt idx="273">
                  <c:v>21275</c:v>
                </c:pt>
                <c:pt idx="274">
                  <c:v>249153</c:v>
                </c:pt>
                <c:pt idx="275">
                  <c:v>479116</c:v>
                </c:pt>
                <c:pt idx="276">
                  <c:v>1917</c:v>
                </c:pt>
                <c:pt idx="277">
                  <c:v>14624</c:v>
                </c:pt>
                <c:pt idx="278">
                  <c:v>171936</c:v>
                </c:pt>
                <c:pt idx="279">
                  <c:v>267265</c:v>
                </c:pt>
                <c:pt idx="280">
                  <c:v>15655</c:v>
                </c:pt>
                <c:pt idx="281">
                  <c:v>50893</c:v>
                </c:pt>
                <c:pt idx="282">
                  <c:v>124057</c:v>
                </c:pt>
                <c:pt idx="283">
                  <c:v>317606</c:v>
                </c:pt>
                <c:pt idx="284">
                  <c:v>130990</c:v>
                </c:pt>
                <c:pt idx="285">
                  <c:v>19221</c:v>
                </c:pt>
                <c:pt idx="286">
                  <c:v>48127</c:v>
                </c:pt>
                <c:pt idx="287">
                  <c:v>20600</c:v>
                </c:pt>
                <c:pt idx="288">
                  <c:v>267250</c:v>
                </c:pt>
                <c:pt idx="289">
                  <c:v>65898</c:v>
                </c:pt>
                <c:pt idx="290">
                  <c:v>162631</c:v>
                </c:pt>
                <c:pt idx="291">
                  <c:v>335925</c:v>
                </c:pt>
                <c:pt idx="292">
                  <c:v>327720</c:v>
                </c:pt>
                <c:pt idx="293">
                  <c:v>264001</c:v>
                </c:pt>
                <c:pt idx="294">
                  <c:v>8569</c:v>
                </c:pt>
                <c:pt idx="295">
                  <c:v>234440</c:v>
                </c:pt>
                <c:pt idx="296">
                  <c:v>21886</c:v>
                </c:pt>
                <c:pt idx="297">
                  <c:v>46055</c:v>
                </c:pt>
                <c:pt idx="298">
                  <c:v>32987</c:v>
                </c:pt>
                <c:pt idx="299">
                  <c:v>19452</c:v>
                </c:pt>
                <c:pt idx="300">
                  <c:v>39173</c:v>
                </c:pt>
                <c:pt idx="301">
                  <c:v>7902</c:v>
                </c:pt>
                <c:pt idx="302">
                  <c:v>179612</c:v>
                </c:pt>
                <c:pt idx="303">
                  <c:v>13777</c:v>
                </c:pt>
                <c:pt idx="304">
                  <c:v>21373</c:v>
                </c:pt>
                <c:pt idx="305">
                  <c:v>17863</c:v>
                </c:pt>
                <c:pt idx="306">
                  <c:v>805</c:v>
                </c:pt>
                <c:pt idx="307">
                  <c:v>22335</c:v>
                </c:pt>
                <c:pt idx="308">
                  <c:v>21766</c:v>
                </c:pt>
                <c:pt idx="309">
                  <c:v>221514</c:v>
                </c:pt>
                <c:pt idx="310">
                  <c:v>486111</c:v>
                </c:pt>
                <c:pt idx="311">
                  <c:v>25657</c:v>
                </c:pt>
                <c:pt idx="312">
                  <c:v>217580</c:v>
                </c:pt>
                <c:pt idx="313">
                  <c:v>34200</c:v>
                </c:pt>
                <c:pt idx="314">
                  <c:v>3795</c:v>
                </c:pt>
                <c:pt idx="315">
                  <c:v>94750</c:v>
                </c:pt>
                <c:pt idx="316">
                  <c:v>306186</c:v>
                </c:pt>
                <c:pt idx="317">
                  <c:v>13381</c:v>
                </c:pt>
                <c:pt idx="318">
                  <c:v>4088</c:v>
                </c:pt>
                <c:pt idx="319">
                  <c:v>5598</c:v>
                </c:pt>
                <c:pt idx="320">
                  <c:v>306705</c:v>
                </c:pt>
                <c:pt idx="321">
                  <c:v>30792</c:v>
                </c:pt>
                <c:pt idx="322">
                  <c:v>73153</c:v>
                </c:pt>
                <c:pt idx="323">
                  <c:v>10732</c:v>
                </c:pt>
                <c:pt idx="324">
                  <c:v>93195</c:v>
                </c:pt>
                <c:pt idx="325">
                  <c:v>17412</c:v>
                </c:pt>
                <c:pt idx="326">
                  <c:v>25766</c:v>
                </c:pt>
                <c:pt idx="327">
                  <c:v>21648</c:v>
                </c:pt>
                <c:pt idx="328">
                  <c:v>19688</c:v>
                </c:pt>
                <c:pt idx="329">
                  <c:v>8513</c:v>
                </c:pt>
                <c:pt idx="330">
                  <c:v>316751</c:v>
                </c:pt>
                <c:pt idx="331">
                  <c:v>10552</c:v>
                </c:pt>
                <c:pt idx="332">
                  <c:v>19145</c:v>
                </c:pt>
                <c:pt idx="333">
                  <c:v>9138</c:v>
                </c:pt>
                <c:pt idx="334">
                  <c:v>11044</c:v>
                </c:pt>
                <c:pt idx="335">
                  <c:v>12620</c:v>
                </c:pt>
                <c:pt idx="336">
                  <c:v>247191</c:v>
                </c:pt>
                <c:pt idx="337">
                  <c:v>31709</c:v>
                </c:pt>
                <c:pt idx="338">
                  <c:v>29217</c:v>
                </c:pt>
                <c:pt idx="339">
                  <c:v>8066</c:v>
                </c:pt>
                <c:pt idx="340">
                  <c:v>264047</c:v>
                </c:pt>
                <c:pt idx="341">
                  <c:v>13164</c:v>
                </c:pt>
                <c:pt idx="342">
                  <c:v>56416</c:v>
                </c:pt>
                <c:pt idx="343">
                  <c:v>28841</c:v>
                </c:pt>
                <c:pt idx="344">
                  <c:v>214985</c:v>
                </c:pt>
                <c:pt idx="345">
                  <c:v>31504</c:v>
                </c:pt>
                <c:pt idx="346">
                  <c:v>102103</c:v>
                </c:pt>
                <c:pt idx="347">
                  <c:v>19717</c:v>
                </c:pt>
                <c:pt idx="348">
                  <c:v>7459</c:v>
                </c:pt>
                <c:pt idx="349">
                  <c:v>22811</c:v>
                </c:pt>
                <c:pt idx="350">
                  <c:v>73989</c:v>
                </c:pt>
                <c:pt idx="351">
                  <c:v>2343</c:v>
                </c:pt>
                <c:pt idx="352">
                  <c:v>66048</c:v>
                </c:pt>
                <c:pt idx="353">
                  <c:v>27305</c:v>
                </c:pt>
                <c:pt idx="354">
                  <c:v>361953</c:v>
                </c:pt>
                <c:pt idx="355">
                  <c:v>263357</c:v>
                </c:pt>
                <c:pt idx="356">
                  <c:v>23966</c:v>
                </c:pt>
                <c:pt idx="357">
                  <c:v>52418</c:v>
                </c:pt>
                <c:pt idx="358">
                  <c:v>31576</c:v>
                </c:pt>
                <c:pt idx="359">
                  <c:v>87496</c:v>
                </c:pt>
                <c:pt idx="360">
                  <c:v>43720</c:v>
                </c:pt>
                <c:pt idx="361">
                  <c:v>12715</c:v>
                </c:pt>
                <c:pt idx="362">
                  <c:v>432919</c:v>
                </c:pt>
                <c:pt idx="363">
                  <c:v>18210</c:v>
                </c:pt>
                <c:pt idx="364">
                  <c:v>2650</c:v>
                </c:pt>
                <c:pt idx="365">
                  <c:v>89043</c:v>
                </c:pt>
                <c:pt idx="366">
                  <c:v>32036</c:v>
                </c:pt>
                <c:pt idx="367">
                  <c:v>162673</c:v>
                </c:pt>
                <c:pt idx="368">
                  <c:v>31659</c:v>
                </c:pt>
                <c:pt idx="369">
                  <c:v>280772</c:v>
                </c:pt>
                <c:pt idx="370">
                  <c:v>28931</c:v>
                </c:pt>
                <c:pt idx="371">
                  <c:v>48646</c:v>
                </c:pt>
                <c:pt idx="372">
                  <c:v>185450</c:v>
                </c:pt>
                <c:pt idx="373">
                  <c:v>4906</c:v>
                </c:pt>
                <c:pt idx="374">
                  <c:v>85302</c:v>
                </c:pt>
                <c:pt idx="375">
                  <c:v>36362</c:v>
                </c:pt>
                <c:pt idx="376">
                  <c:v>19564</c:v>
                </c:pt>
                <c:pt idx="377">
                  <c:v>142015</c:v>
                </c:pt>
                <c:pt idx="378">
                  <c:v>396464</c:v>
                </c:pt>
                <c:pt idx="379">
                  <c:v>65239</c:v>
                </c:pt>
                <c:pt idx="380">
                  <c:v>481371</c:v>
                </c:pt>
                <c:pt idx="381">
                  <c:v>33792</c:v>
                </c:pt>
                <c:pt idx="382">
                  <c:v>273471</c:v>
                </c:pt>
                <c:pt idx="383">
                  <c:v>18169</c:v>
                </c:pt>
                <c:pt idx="384">
                  <c:v>219497</c:v>
                </c:pt>
                <c:pt idx="385">
                  <c:v>9396</c:v>
                </c:pt>
                <c:pt idx="386">
                  <c:v>49233</c:v>
                </c:pt>
                <c:pt idx="387">
                  <c:v>12764</c:v>
                </c:pt>
                <c:pt idx="388">
                  <c:v>64438</c:v>
                </c:pt>
                <c:pt idx="389">
                  <c:v>18371</c:v>
                </c:pt>
                <c:pt idx="390">
                  <c:v>32912</c:v>
                </c:pt>
                <c:pt idx="391">
                  <c:v>3002</c:v>
                </c:pt>
                <c:pt idx="392">
                  <c:v>32223</c:v>
                </c:pt>
                <c:pt idx="393">
                  <c:v>69821</c:v>
                </c:pt>
                <c:pt idx="394">
                  <c:v>12511</c:v>
                </c:pt>
                <c:pt idx="395">
                  <c:v>8567</c:v>
                </c:pt>
                <c:pt idx="396">
                  <c:v>31744</c:v>
                </c:pt>
                <c:pt idx="397">
                  <c:v>7127</c:v>
                </c:pt>
                <c:pt idx="398">
                  <c:v>21322</c:v>
                </c:pt>
                <c:pt idx="399">
                  <c:v>2785</c:v>
                </c:pt>
                <c:pt idx="400">
                  <c:v>6106</c:v>
                </c:pt>
                <c:pt idx="401">
                  <c:v>184139</c:v>
                </c:pt>
                <c:pt idx="402">
                  <c:v>26764</c:v>
                </c:pt>
                <c:pt idx="403">
                  <c:v>49797</c:v>
                </c:pt>
                <c:pt idx="404">
                  <c:v>35525</c:v>
                </c:pt>
                <c:pt idx="405">
                  <c:v>19195</c:v>
                </c:pt>
                <c:pt idx="406">
                  <c:v>46574</c:v>
                </c:pt>
                <c:pt idx="407">
                  <c:v>11288</c:v>
                </c:pt>
                <c:pt idx="408">
                  <c:v>28606</c:v>
                </c:pt>
                <c:pt idx="409">
                  <c:v>14074</c:v>
                </c:pt>
                <c:pt idx="410">
                  <c:v>59270</c:v>
                </c:pt>
                <c:pt idx="411">
                  <c:v>75915</c:v>
                </c:pt>
                <c:pt idx="412">
                  <c:v>72976</c:v>
                </c:pt>
                <c:pt idx="413">
                  <c:v>84491</c:v>
                </c:pt>
                <c:pt idx="414">
                  <c:v>41900</c:v>
                </c:pt>
                <c:pt idx="415">
                  <c:v>2092</c:v>
                </c:pt>
                <c:pt idx="416">
                  <c:v>74779</c:v>
                </c:pt>
                <c:pt idx="417">
                  <c:v>9916</c:v>
                </c:pt>
                <c:pt idx="418">
                  <c:v>4445</c:v>
                </c:pt>
                <c:pt idx="419">
                  <c:v>22072</c:v>
                </c:pt>
                <c:pt idx="420">
                  <c:v>30790</c:v>
                </c:pt>
                <c:pt idx="421">
                  <c:v>251932</c:v>
                </c:pt>
                <c:pt idx="422">
                  <c:v>30992</c:v>
                </c:pt>
                <c:pt idx="423">
                  <c:v>143707</c:v>
                </c:pt>
                <c:pt idx="424">
                  <c:v>4868</c:v>
                </c:pt>
                <c:pt idx="425">
                  <c:v>21535</c:v>
                </c:pt>
                <c:pt idx="426">
                  <c:v>72066</c:v>
                </c:pt>
                <c:pt idx="427">
                  <c:v>24044</c:v>
                </c:pt>
                <c:pt idx="428">
                  <c:v>117879</c:v>
                </c:pt>
                <c:pt idx="429">
                  <c:v>14346</c:v>
                </c:pt>
                <c:pt idx="430">
                  <c:v>3303</c:v>
                </c:pt>
                <c:pt idx="431">
                  <c:v>7765</c:v>
                </c:pt>
                <c:pt idx="432">
                  <c:v>21592</c:v>
                </c:pt>
                <c:pt idx="433">
                  <c:v>13531</c:v>
                </c:pt>
                <c:pt idx="434">
                  <c:v>87545</c:v>
                </c:pt>
                <c:pt idx="435">
                  <c:v>30509</c:v>
                </c:pt>
                <c:pt idx="436">
                  <c:v>53167</c:v>
                </c:pt>
                <c:pt idx="437">
                  <c:v>22118</c:v>
                </c:pt>
                <c:pt idx="438">
                  <c:v>6518</c:v>
                </c:pt>
                <c:pt idx="439">
                  <c:v>57148</c:v>
                </c:pt>
                <c:pt idx="440">
                  <c:v>9102</c:v>
                </c:pt>
                <c:pt idx="441">
                  <c:v>392291</c:v>
                </c:pt>
                <c:pt idx="442">
                  <c:v>82125</c:v>
                </c:pt>
                <c:pt idx="443">
                  <c:v>225458</c:v>
                </c:pt>
                <c:pt idx="444">
                  <c:v>31441</c:v>
                </c:pt>
                <c:pt idx="445">
                  <c:v>68693</c:v>
                </c:pt>
                <c:pt idx="446">
                  <c:v>288296</c:v>
                </c:pt>
                <c:pt idx="447">
                  <c:v>1023</c:v>
                </c:pt>
                <c:pt idx="448">
                  <c:v>3481</c:v>
                </c:pt>
                <c:pt idx="449">
                  <c:v>18614</c:v>
                </c:pt>
                <c:pt idx="450">
                  <c:v>29996</c:v>
                </c:pt>
                <c:pt idx="451">
                  <c:v>5854</c:v>
                </c:pt>
                <c:pt idx="452">
                  <c:v>12421</c:v>
                </c:pt>
                <c:pt idx="453">
                  <c:v>26906</c:v>
                </c:pt>
                <c:pt idx="454">
                  <c:v>328225</c:v>
                </c:pt>
                <c:pt idx="455">
                  <c:v>17569</c:v>
                </c:pt>
                <c:pt idx="456">
                  <c:v>66334</c:v>
                </c:pt>
                <c:pt idx="457">
                  <c:v>19570</c:v>
                </c:pt>
                <c:pt idx="458">
                  <c:v>9852</c:v>
                </c:pt>
                <c:pt idx="459">
                  <c:v>92161</c:v>
                </c:pt>
                <c:pt idx="460">
                  <c:v>3970</c:v>
                </c:pt>
                <c:pt idx="461">
                  <c:v>110636</c:v>
                </c:pt>
                <c:pt idx="462">
                  <c:v>52965</c:v>
                </c:pt>
                <c:pt idx="463">
                  <c:v>43511</c:v>
                </c:pt>
                <c:pt idx="464">
                  <c:v>337983</c:v>
                </c:pt>
                <c:pt idx="465">
                  <c:v>164695</c:v>
                </c:pt>
                <c:pt idx="466">
                  <c:v>16374</c:v>
                </c:pt>
                <c:pt idx="467">
                  <c:v>459458</c:v>
                </c:pt>
                <c:pt idx="468">
                  <c:v>16448</c:v>
                </c:pt>
                <c:pt idx="469">
                  <c:v>7337</c:v>
                </c:pt>
                <c:pt idx="470">
                  <c:v>18681</c:v>
                </c:pt>
                <c:pt idx="471">
                  <c:v>37918</c:v>
                </c:pt>
                <c:pt idx="472">
                  <c:v>31283</c:v>
                </c:pt>
                <c:pt idx="473">
                  <c:v>339247</c:v>
                </c:pt>
                <c:pt idx="474">
                  <c:v>8981</c:v>
                </c:pt>
                <c:pt idx="475">
                  <c:v>21302</c:v>
                </c:pt>
                <c:pt idx="476">
                  <c:v>69216</c:v>
                </c:pt>
                <c:pt idx="477">
                  <c:v>71167</c:v>
                </c:pt>
                <c:pt idx="478">
                  <c:v>4580</c:v>
                </c:pt>
                <c:pt idx="479">
                  <c:v>25003</c:v>
                </c:pt>
                <c:pt idx="480">
                  <c:v>69409</c:v>
                </c:pt>
                <c:pt idx="481">
                  <c:v>85888</c:v>
                </c:pt>
                <c:pt idx="482">
                  <c:v>60250</c:v>
                </c:pt>
                <c:pt idx="483">
                  <c:v>11412</c:v>
                </c:pt>
                <c:pt idx="484">
                  <c:v>8581</c:v>
                </c:pt>
                <c:pt idx="485">
                  <c:v>87881</c:v>
                </c:pt>
                <c:pt idx="486">
                  <c:v>15417</c:v>
                </c:pt>
                <c:pt idx="487">
                  <c:v>185847</c:v>
                </c:pt>
                <c:pt idx="488">
                  <c:v>10745</c:v>
                </c:pt>
                <c:pt idx="489">
                  <c:v>6513</c:v>
                </c:pt>
                <c:pt idx="490">
                  <c:v>440564</c:v>
                </c:pt>
                <c:pt idx="491">
                  <c:v>322006</c:v>
                </c:pt>
                <c:pt idx="492">
                  <c:v>10767</c:v>
                </c:pt>
                <c:pt idx="493">
                  <c:v>36770</c:v>
                </c:pt>
                <c:pt idx="494">
                  <c:v>38055</c:v>
                </c:pt>
                <c:pt idx="495">
                  <c:v>51958</c:v>
                </c:pt>
                <c:pt idx="496">
                  <c:v>36746</c:v>
                </c:pt>
                <c:pt idx="497">
                  <c:v>12875</c:v>
                </c:pt>
                <c:pt idx="498">
                  <c:v>29909</c:v>
                </c:pt>
                <c:pt idx="499">
                  <c:v>41256</c:v>
                </c:pt>
                <c:pt idx="500">
                  <c:v>9610</c:v>
                </c:pt>
                <c:pt idx="501">
                  <c:v>3755</c:v>
                </c:pt>
                <c:pt idx="502">
                  <c:v>38598</c:v>
                </c:pt>
                <c:pt idx="503">
                  <c:v>10726</c:v>
                </c:pt>
                <c:pt idx="504">
                  <c:v>37289</c:v>
                </c:pt>
                <c:pt idx="505">
                  <c:v>20670</c:v>
                </c:pt>
                <c:pt idx="506">
                  <c:v>30297</c:v>
                </c:pt>
                <c:pt idx="507">
                  <c:v>34183</c:v>
                </c:pt>
                <c:pt idx="508">
                  <c:v>44261</c:v>
                </c:pt>
                <c:pt idx="509">
                  <c:v>57188</c:v>
                </c:pt>
                <c:pt idx="510">
                  <c:v>18096</c:v>
                </c:pt>
                <c:pt idx="511">
                  <c:v>24711</c:v>
                </c:pt>
                <c:pt idx="512">
                  <c:v>6773</c:v>
                </c:pt>
                <c:pt idx="513">
                  <c:v>16541</c:v>
                </c:pt>
                <c:pt idx="514">
                  <c:v>237159</c:v>
                </c:pt>
                <c:pt idx="515">
                  <c:v>14887</c:v>
                </c:pt>
                <c:pt idx="516">
                  <c:v>11666</c:v>
                </c:pt>
                <c:pt idx="517">
                  <c:v>14544</c:v>
                </c:pt>
                <c:pt idx="518">
                  <c:v>58879</c:v>
                </c:pt>
                <c:pt idx="519">
                  <c:v>12952</c:v>
                </c:pt>
                <c:pt idx="520">
                  <c:v>58263</c:v>
                </c:pt>
                <c:pt idx="521">
                  <c:v>79853</c:v>
                </c:pt>
                <c:pt idx="522">
                  <c:v>7562</c:v>
                </c:pt>
                <c:pt idx="523">
                  <c:v>85442</c:v>
                </c:pt>
                <c:pt idx="524">
                  <c:v>92991</c:v>
                </c:pt>
                <c:pt idx="525">
                  <c:v>301112</c:v>
                </c:pt>
                <c:pt idx="526">
                  <c:v>34405</c:v>
                </c:pt>
                <c:pt idx="527">
                  <c:v>731</c:v>
                </c:pt>
                <c:pt idx="528">
                  <c:v>120386</c:v>
                </c:pt>
                <c:pt idx="529">
                  <c:v>62072</c:v>
                </c:pt>
                <c:pt idx="530">
                  <c:v>21231</c:v>
                </c:pt>
                <c:pt idx="531">
                  <c:v>24799</c:v>
                </c:pt>
                <c:pt idx="532">
                  <c:v>3061</c:v>
                </c:pt>
                <c:pt idx="533">
                  <c:v>340043</c:v>
                </c:pt>
                <c:pt idx="534">
                  <c:v>29619</c:v>
                </c:pt>
                <c:pt idx="535">
                  <c:v>422846</c:v>
                </c:pt>
                <c:pt idx="536">
                  <c:v>27037</c:v>
                </c:pt>
                <c:pt idx="537">
                  <c:v>58108</c:v>
                </c:pt>
                <c:pt idx="538">
                  <c:v>39598</c:v>
                </c:pt>
                <c:pt idx="539">
                  <c:v>13315</c:v>
                </c:pt>
                <c:pt idx="540">
                  <c:v>205114</c:v>
                </c:pt>
                <c:pt idx="541">
                  <c:v>13067</c:v>
                </c:pt>
                <c:pt idx="542">
                  <c:v>14564</c:v>
                </c:pt>
                <c:pt idx="543">
                  <c:v>84635</c:v>
                </c:pt>
                <c:pt idx="544">
                  <c:v>10273</c:v>
                </c:pt>
                <c:pt idx="545">
                  <c:v>7109</c:v>
                </c:pt>
                <c:pt idx="546">
                  <c:v>26436</c:v>
                </c:pt>
                <c:pt idx="547">
                  <c:v>10617</c:v>
                </c:pt>
                <c:pt idx="548">
                  <c:v>25704</c:v>
                </c:pt>
                <c:pt idx="549">
                  <c:v>280933</c:v>
                </c:pt>
                <c:pt idx="550">
                  <c:v>68366</c:v>
                </c:pt>
                <c:pt idx="551">
                  <c:v>335088</c:v>
                </c:pt>
                <c:pt idx="552">
                  <c:v>483615</c:v>
                </c:pt>
                <c:pt idx="553">
                  <c:v>19259</c:v>
                </c:pt>
                <c:pt idx="554">
                  <c:v>105734</c:v>
                </c:pt>
                <c:pt idx="555">
                  <c:v>314434</c:v>
                </c:pt>
                <c:pt idx="556">
                  <c:v>3279</c:v>
                </c:pt>
                <c:pt idx="557">
                  <c:v>49064</c:v>
                </c:pt>
                <c:pt idx="558">
                  <c:v>13079</c:v>
                </c:pt>
                <c:pt idx="559">
                  <c:v>68875</c:v>
                </c:pt>
                <c:pt idx="560">
                  <c:v>292218</c:v>
                </c:pt>
                <c:pt idx="561">
                  <c:v>2008</c:v>
                </c:pt>
                <c:pt idx="562">
                  <c:v>186197</c:v>
                </c:pt>
                <c:pt idx="563">
                  <c:v>10544</c:v>
                </c:pt>
                <c:pt idx="564">
                  <c:v>150291</c:v>
                </c:pt>
                <c:pt idx="565">
                  <c:v>10578</c:v>
                </c:pt>
                <c:pt idx="566">
                  <c:v>125093</c:v>
                </c:pt>
                <c:pt idx="567">
                  <c:v>34704</c:v>
                </c:pt>
                <c:pt idx="568">
                  <c:v>9830</c:v>
                </c:pt>
                <c:pt idx="569">
                  <c:v>16856</c:v>
                </c:pt>
                <c:pt idx="570">
                  <c:v>10726</c:v>
                </c:pt>
                <c:pt idx="571">
                  <c:v>430</c:v>
                </c:pt>
                <c:pt idx="572">
                  <c:v>39894</c:v>
                </c:pt>
                <c:pt idx="573">
                  <c:v>8400</c:v>
                </c:pt>
                <c:pt idx="574">
                  <c:v>8815</c:v>
                </c:pt>
                <c:pt idx="575">
                  <c:v>31337</c:v>
                </c:pt>
                <c:pt idx="576">
                  <c:v>40741</c:v>
                </c:pt>
                <c:pt idx="577">
                  <c:v>90765</c:v>
                </c:pt>
                <c:pt idx="578">
                  <c:v>59087</c:v>
                </c:pt>
                <c:pt idx="579">
                  <c:v>10178</c:v>
                </c:pt>
                <c:pt idx="580">
                  <c:v>93677</c:v>
                </c:pt>
                <c:pt idx="581">
                  <c:v>72995</c:v>
                </c:pt>
                <c:pt idx="582">
                  <c:v>4486</c:v>
                </c:pt>
                <c:pt idx="583">
                  <c:v>237487</c:v>
                </c:pt>
                <c:pt idx="584">
                  <c:v>10170</c:v>
                </c:pt>
                <c:pt idx="585">
                  <c:v>27574</c:v>
                </c:pt>
                <c:pt idx="586">
                  <c:v>352524</c:v>
                </c:pt>
                <c:pt idx="587">
                  <c:v>43587</c:v>
                </c:pt>
                <c:pt idx="588">
                  <c:v>212134</c:v>
                </c:pt>
                <c:pt idx="589">
                  <c:v>40971</c:v>
                </c:pt>
                <c:pt idx="590">
                  <c:v>335537</c:v>
                </c:pt>
                <c:pt idx="591">
                  <c:v>131357</c:v>
                </c:pt>
                <c:pt idx="592">
                  <c:v>5270</c:v>
                </c:pt>
                <c:pt idx="593">
                  <c:v>4484</c:v>
                </c:pt>
                <c:pt idx="594">
                  <c:v>20916</c:v>
                </c:pt>
                <c:pt idx="595">
                  <c:v>5694</c:v>
                </c:pt>
                <c:pt idx="596">
                  <c:v>19943</c:v>
                </c:pt>
                <c:pt idx="597">
                  <c:v>32370</c:v>
                </c:pt>
                <c:pt idx="598">
                  <c:v>3743</c:v>
                </c:pt>
                <c:pt idx="599">
                  <c:v>985</c:v>
                </c:pt>
                <c:pt idx="600">
                  <c:v>59877</c:v>
                </c:pt>
                <c:pt idx="601">
                  <c:v>13715</c:v>
                </c:pt>
                <c:pt idx="602">
                  <c:v>64617</c:v>
                </c:pt>
                <c:pt idx="603">
                  <c:v>51684</c:v>
                </c:pt>
                <c:pt idx="604">
                  <c:v>12490</c:v>
                </c:pt>
                <c:pt idx="605">
                  <c:v>23813</c:v>
                </c:pt>
                <c:pt idx="606">
                  <c:v>257734</c:v>
                </c:pt>
                <c:pt idx="607">
                  <c:v>23805</c:v>
                </c:pt>
                <c:pt idx="608">
                  <c:v>225861</c:v>
                </c:pt>
                <c:pt idx="609">
                  <c:v>32439</c:v>
                </c:pt>
                <c:pt idx="610">
                  <c:v>57901</c:v>
                </c:pt>
                <c:pt idx="611">
                  <c:v>19096</c:v>
                </c:pt>
                <c:pt idx="612">
                  <c:v>4308</c:v>
                </c:pt>
                <c:pt idx="613">
                  <c:v>374495</c:v>
                </c:pt>
                <c:pt idx="614">
                  <c:v>305982</c:v>
                </c:pt>
                <c:pt idx="615">
                  <c:v>78081</c:v>
                </c:pt>
                <c:pt idx="616">
                  <c:v>5666</c:v>
                </c:pt>
                <c:pt idx="617">
                  <c:v>282470</c:v>
                </c:pt>
                <c:pt idx="618">
                  <c:v>8276</c:v>
                </c:pt>
                <c:pt idx="619">
                  <c:v>14687</c:v>
                </c:pt>
                <c:pt idx="620">
                  <c:v>8640</c:v>
                </c:pt>
                <c:pt idx="621">
                  <c:v>11681</c:v>
                </c:pt>
                <c:pt idx="622">
                  <c:v>382426</c:v>
                </c:pt>
                <c:pt idx="623">
                  <c:v>4755</c:v>
                </c:pt>
                <c:pt idx="624">
                  <c:v>56581</c:v>
                </c:pt>
                <c:pt idx="625">
                  <c:v>13892</c:v>
                </c:pt>
                <c:pt idx="626">
                  <c:v>66709</c:v>
                </c:pt>
                <c:pt idx="627">
                  <c:v>24231</c:v>
                </c:pt>
                <c:pt idx="628">
                  <c:v>30676</c:v>
                </c:pt>
                <c:pt idx="629">
                  <c:v>43458</c:v>
                </c:pt>
                <c:pt idx="630">
                  <c:v>24339</c:v>
                </c:pt>
                <c:pt idx="631">
                  <c:v>23608</c:v>
                </c:pt>
                <c:pt idx="632">
                  <c:v>3498</c:v>
                </c:pt>
                <c:pt idx="633">
                  <c:v>11898</c:v>
                </c:pt>
                <c:pt idx="634">
                  <c:v>2644</c:v>
                </c:pt>
                <c:pt idx="635">
                  <c:v>16074</c:v>
                </c:pt>
                <c:pt idx="636">
                  <c:v>5607</c:v>
                </c:pt>
                <c:pt idx="637">
                  <c:v>355683</c:v>
                </c:pt>
                <c:pt idx="638">
                  <c:v>24289</c:v>
                </c:pt>
                <c:pt idx="639">
                  <c:v>47511</c:v>
                </c:pt>
                <c:pt idx="640">
                  <c:v>12122</c:v>
                </c:pt>
                <c:pt idx="641">
                  <c:v>24844</c:v>
                </c:pt>
                <c:pt idx="642">
                  <c:v>72162</c:v>
                </c:pt>
                <c:pt idx="643">
                  <c:v>9855</c:v>
                </c:pt>
                <c:pt idx="644">
                  <c:v>1464</c:v>
                </c:pt>
                <c:pt idx="645">
                  <c:v>43874</c:v>
                </c:pt>
                <c:pt idx="646">
                  <c:v>351288</c:v>
                </c:pt>
                <c:pt idx="647">
                  <c:v>1882</c:v>
                </c:pt>
                <c:pt idx="648">
                  <c:v>57041</c:v>
                </c:pt>
                <c:pt idx="649">
                  <c:v>8908</c:v>
                </c:pt>
                <c:pt idx="650">
                  <c:v>47214</c:v>
                </c:pt>
                <c:pt idx="651">
                  <c:v>7636</c:v>
                </c:pt>
                <c:pt idx="652">
                  <c:v>11649</c:v>
                </c:pt>
                <c:pt idx="653">
                  <c:v>15732</c:v>
                </c:pt>
                <c:pt idx="654">
                  <c:v>30427</c:v>
                </c:pt>
                <c:pt idx="655">
                  <c:v>165315</c:v>
                </c:pt>
                <c:pt idx="656">
                  <c:v>400431</c:v>
                </c:pt>
                <c:pt idx="657">
                  <c:v>9511</c:v>
                </c:pt>
                <c:pt idx="658">
                  <c:v>24086</c:v>
                </c:pt>
                <c:pt idx="659">
                  <c:v>149002</c:v>
                </c:pt>
                <c:pt idx="660">
                  <c:v>28394</c:v>
                </c:pt>
                <c:pt idx="661">
                  <c:v>34442</c:v>
                </c:pt>
                <c:pt idx="662">
                  <c:v>36061</c:v>
                </c:pt>
                <c:pt idx="663">
                  <c:v>376171</c:v>
                </c:pt>
                <c:pt idx="664">
                  <c:v>29184</c:v>
                </c:pt>
                <c:pt idx="665">
                  <c:v>69393</c:v>
                </c:pt>
                <c:pt idx="666">
                  <c:v>13645</c:v>
                </c:pt>
                <c:pt idx="667">
                  <c:v>81658</c:v>
                </c:pt>
                <c:pt idx="668">
                  <c:v>15327</c:v>
                </c:pt>
                <c:pt idx="669">
                  <c:v>186198</c:v>
                </c:pt>
                <c:pt idx="670">
                  <c:v>321812</c:v>
                </c:pt>
                <c:pt idx="671">
                  <c:v>14268</c:v>
                </c:pt>
                <c:pt idx="672">
                  <c:v>47971</c:v>
                </c:pt>
                <c:pt idx="673">
                  <c:v>12818</c:v>
                </c:pt>
                <c:pt idx="674">
                  <c:v>15500</c:v>
                </c:pt>
                <c:pt idx="675">
                  <c:v>52663</c:v>
                </c:pt>
                <c:pt idx="676">
                  <c:v>173804</c:v>
                </c:pt>
                <c:pt idx="677">
                  <c:v>3759</c:v>
                </c:pt>
                <c:pt idx="678">
                  <c:v>65387</c:v>
                </c:pt>
                <c:pt idx="679">
                  <c:v>17581</c:v>
                </c:pt>
                <c:pt idx="680">
                  <c:v>39451</c:v>
                </c:pt>
                <c:pt idx="681">
                  <c:v>49080</c:v>
                </c:pt>
                <c:pt idx="682">
                  <c:v>15266</c:v>
                </c:pt>
                <c:pt idx="683">
                  <c:v>4895</c:v>
                </c:pt>
                <c:pt idx="684">
                  <c:v>71625</c:v>
                </c:pt>
                <c:pt idx="685">
                  <c:v>18738</c:v>
                </c:pt>
                <c:pt idx="686">
                  <c:v>2570</c:v>
                </c:pt>
                <c:pt idx="687">
                  <c:v>136086</c:v>
                </c:pt>
                <c:pt idx="688">
                  <c:v>34283</c:v>
                </c:pt>
                <c:pt idx="689">
                  <c:v>1615</c:v>
                </c:pt>
                <c:pt idx="690">
                  <c:v>30298</c:v>
                </c:pt>
                <c:pt idx="691">
                  <c:v>16740</c:v>
                </c:pt>
                <c:pt idx="692">
                  <c:v>25252</c:v>
                </c:pt>
                <c:pt idx="693">
                  <c:v>30617</c:v>
                </c:pt>
                <c:pt idx="694">
                  <c:v>5867</c:v>
                </c:pt>
                <c:pt idx="695">
                  <c:v>12837</c:v>
                </c:pt>
                <c:pt idx="696">
                  <c:v>19532</c:v>
                </c:pt>
                <c:pt idx="697">
                  <c:v>36021</c:v>
                </c:pt>
                <c:pt idx="698">
                  <c:v>516709</c:v>
                </c:pt>
                <c:pt idx="699">
                  <c:v>1750</c:v>
                </c:pt>
                <c:pt idx="700">
                  <c:v>106828</c:v>
                </c:pt>
                <c:pt idx="701">
                  <c:v>49124</c:v>
                </c:pt>
                <c:pt idx="702">
                  <c:v>6463</c:v>
                </c:pt>
                <c:pt idx="703">
                  <c:v>11643</c:v>
                </c:pt>
                <c:pt idx="704">
                  <c:v>9622</c:v>
                </c:pt>
                <c:pt idx="705">
                  <c:v>768</c:v>
                </c:pt>
                <c:pt idx="706">
                  <c:v>5498</c:v>
                </c:pt>
                <c:pt idx="707">
                  <c:v>97696</c:v>
                </c:pt>
                <c:pt idx="708">
                  <c:v>20572</c:v>
                </c:pt>
                <c:pt idx="709">
                  <c:v>28247</c:v>
                </c:pt>
                <c:pt idx="710">
                  <c:v>74167</c:v>
                </c:pt>
                <c:pt idx="711">
                  <c:v>36474</c:v>
                </c:pt>
                <c:pt idx="712">
                  <c:v>52019</c:v>
                </c:pt>
                <c:pt idx="713">
                  <c:v>13851</c:v>
                </c:pt>
                <c:pt idx="714">
                  <c:v>4210</c:v>
                </c:pt>
                <c:pt idx="715">
                  <c:v>8714</c:v>
                </c:pt>
                <c:pt idx="716">
                  <c:v>18489</c:v>
                </c:pt>
                <c:pt idx="717">
                  <c:v>8150</c:v>
                </c:pt>
                <c:pt idx="718">
                  <c:v>38223</c:v>
                </c:pt>
                <c:pt idx="719">
                  <c:v>32977</c:v>
                </c:pt>
                <c:pt idx="720">
                  <c:v>57675</c:v>
                </c:pt>
                <c:pt idx="721">
                  <c:v>87852</c:v>
                </c:pt>
                <c:pt idx="722">
                  <c:v>10551</c:v>
                </c:pt>
                <c:pt idx="723">
                  <c:v>29314</c:v>
                </c:pt>
                <c:pt idx="724">
                  <c:v>74816</c:v>
                </c:pt>
                <c:pt idx="725">
                  <c:v>18345</c:v>
                </c:pt>
                <c:pt idx="726">
                  <c:v>84679</c:v>
                </c:pt>
                <c:pt idx="727">
                  <c:v>29143</c:v>
                </c:pt>
                <c:pt idx="728">
                  <c:v>45375</c:v>
                </c:pt>
                <c:pt idx="729">
                  <c:v>13665</c:v>
                </c:pt>
                <c:pt idx="730">
                  <c:v>354002</c:v>
                </c:pt>
                <c:pt idx="731">
                  <c:v>500863</c:v>
                </c:pt>
                <c:pt idx="732">
                  <c:v>23524</c:v>
                </c:pt>
                <c:pt idx="733">
                  <c:v>379546</c:v>
                </c:pt>
                <c:pt idx="734">
                  <c:v>175978</c:v>
                </c:pt>
                <c:pt idx="735">
                  <c:v>17851</c:v>
                </c:pt>
                <c:pt idx="736">
                  <c:v>3182</c:v>
                </c:pt>
                <c:pt idx="737">
                  <c:v>44248</c:v>
                </c:pt>
                <c:pt idx="738">
                  <c:v>45960</c:v>
                </c:pt>
                <c:pt idx="739">
                  <c:v>63176</c:v>
                </c:pt>
                <c:pt idx="740">
                  <c:v>8474</c:v>
                </c:pt>
                <c:pt idx="741">
                  <c:v>24643</c:v>
                </c:pt>
                <c:pt idx="742">
                  <c:v>18893</c:v>
                </c:pt>
                <c:pt idx="743">
                  <c:v>16687</c:v>
                </c:pt>
                <c:pt idx="744">
                  <c:v>6126</c:v>
                </c:pt>
                <c:pt idx="745">
                  <c:v>153582</c:v>
                </c:pt>
                <c:pt idx="746">
                  <c:v>33166</c:v>
                </c:pt>
                <c:pt idx="747">
                  <c:v>958</c:v>
                </c:pt>
                <c:pt idx="748">
                  <c:v>113024</c:v>
                </c:pt>
                <c:pt idx="749">
                  <c:v>21214</c:v>
                </c:pt>
                <c:pt idx="750">
                  <c:v>18110</c:v>
                </c:pt>
                <c:pt idx="751">
                  <c:v>427491</c:v>
                </c:pt>
                <c:pt idx="752">
                  <c:v>117459</c:v>
                </c:pt>
                <c:pt idx="753">
                  <c:v>35097</c:v>
                </c:pt>
                <c:pt idx="754">
                  <c:v>9224</c:v>
                </c:pt>
                <c:pt idx="755">
                  <c:v>14807</c:v>
                </c:pt>
                <c:pt idx="756">
                  <c:v>56534</c:v>
                </c:pt>
                <c:pt idx="757">
                  <c:v>34138</c:v>
                </c:pt>
                <c:pt idx="758">
                  <c:v>13034</c:v>
                </c:pt>
                <c:pt idx="759">
                  <c:v>16931</c:v>
                </c:pt>
                <c:pt idx="760">
                  <c:v>470236</c:v>
                </c:pt>
                <c:pt idx="761">
                  <c:v>137714</c:v>
                </c:pt>
                <c:pt idx="762">
                  <c:v>6286</c:v>
                </c:pt>
                <c:pt idx="763">
                  <c:v>17035</c:v>
                </c:pt>
                <c:pt idx="764">
                  <c:v>22629</c:v>
                </c:pt>
                <c:pt idx="765">
                  <c:v>10886</c:v>
                </c:pt>
                <c:pt idx="766">
                  <c:v>16928</c:v>
                </c:pt>
                <c:pt idx="767">
                  <c:v>7099</c:v>
                </c:pt>
                <c:pt idx="768">
                  <c:v>36817</c:v>
                </c:pt>
                <c:pt idx="769">
                  <c:v>250782</c:v>
                </c:pt>
                <c:pt idx="770">
                  <c:v>2682</c:v>
                </c:pt>
                <c:pt idx="771">
                  <c:v>20009</c:v>
                </c:pt>
                <c:pt idx="772">
                  <c:v>2335</c:v>
                </c:pt>
                <c:pt idx="773">
                  <c:v>34001</c:v>
                </c:pt>
                <c:pt idx="774">
                  <c:v>7779</c:v>
                </c:pt>
                <c:pt idx="775">
                  <c:v>63122</c:v>
                </c:pt>
                <c:pt idx="776">
                  <c:v>25468</c:v>
                </c:pt>
                <c:pt idx="777">
                  <c:v>272197</c:v>
                </c:pt>
                <c:pt idx="778">
                  <c:v>13512</c:v>
                </c:pt>
                <c:pt idx="779">
                  <c:v>333804</c:v>
                </c:pt>
                <c:pt idx="780">
                  <c:v>23579</c:v>
                </c:pt>
                <c:pt idx="781">
                  <c:v>13503</c:v>
                </c:pt>
                <c:pt idx="782">
                  <c:v>16980</c:v>
                </c:pt>
                <c:pt idx="783">
                  <c:v>30937</c:v>
                </c:pt>
                <c:pt idx="784">
                  <c:v>26470</c:v>
                </c:pt>
                <c:pt idx="785">
                  <c:v>108168</c:v>
                </c:pt>
                <c:pt idx="786">
                  <c:v>19486</c:v>
                </c:pt>
                <c:pt idx="787">
                  <c:v>327325</c:v>
                </c:pt>
                <c:pt idx="788">
                  <c:v>209403</c:v>
                </c:pt>
                <c:pt idx="789">
                  <c:v>43665</c:v>
                </c:pt>
                <c:pt idx="790">
                  <c:v>44840</c:v>
                </c:pt>
                <c:pt idx="791">
                  <c:v>28891</c:v>
                </c:pt>
                <c:pt idx="792">
                  <c:v>19665</c:v>
                </c:pt>
                <c:pt idx="793">
                  <c:v>309901</c:v>
                </c:pt>
                <c:pt idx="794">
                  <c:v>78507</c:v>
                </c:pt>
                <c:pt idx="795">
                  <c:v>12523</c:v>
                </c:pt>
                <c:pt idx="796">
                  <c:v>16546</c:v>
                </c:pt>
                <c:pt idx="797">
                  <c:v>22672</c:v>
                </c:pt>
                <c:pt idx="798">
                  <c:v>72621</c:v>
                </c:pt>
                <c:pt idx="799">
                  <c:v>16084</c:v>
                </c:pt>
                <c:pt idx="800">
                  <c:v>8929</c:v>
                </c:pt>
                <c:pt idx="801">
                  <c:v>15199</c:v>
                </c:pt>
                <c:pt idx="802">
                  <c:v>31608</c:v>
                </c:pt>
                <c:pt idx="803">
                  <c:v>18381</c:v>
                </c:pt>
                <c:pt idx="804">
                  <c:v>8019</c:v>
                </c:pt>
                <c:pt idx="805">
                  <c:v>85320</c:v>
                </c:pt>
                <c:pt idx="806">
                  <c:v>38897</c:v>
                </c:pt>
                <c:pt idx="807">
                  <c:v>34622</c:v>
                </c:pt>
                <c:pt idx="808">
                  <c:v>896</c:v>
                </c:pt>
                <c:pt idx="809">
                  <c:v>267198</c:v>
                </c:pt>
                <c:pt idx="810">
                  <c:v>5004</c:v>
                </c:pt>
                <c:pt idx="811">
                  <c:v>92027</c:v>
                </c:pt>
                <c:pt idx="812">
                  <c:v>18602</c:v>
                </c:pt>
                <c:pt idx="813">
                  <c:v>27727</c:v>
                </c:pt>
                <c:pt idx="814">
                  <c:v>15247</c:v>
                </c:pt>
                <c:pt idx="815">
                  <c:v>89894</c:v>
                </c:pt>
                <c:pt idx="816">
                  <c:v>27153</c:v>
                </c:pt>
                <c:pt idx="817">
                  <c:v>4784</c:v>
                </c:pt>
                <c:pt idx="818">
                  <c:v>13034</c:v>
                </c:pt>
                <c:pt idx="819">
                  <c:v>18057</c:v>
                </c:pt>
                <c:pt idx="820">
                  <c:v>179719</c:v>
                </c:pt>
                <c:pt idx="821">
                  <c:v>23924</c:v>
                </c:pt>
                <c:pt idx="822">
                  <c:v>300492</c:v>
                </c:pt>
                <c:pt idx="823">
                  <c:v>28585</c:v>
                </c:pt>
                <c:pt idx="824">
                  <c:v>17663</c:v>
                </c:pt>
                <c:pt idx="825">
                  <c:v>11481</c:v>
                </c:pt>
                <c:pt idx="826">
                  <c:v>30075</c:v>
                </c:pt>
                <c:pt idx="827">
                  <c:v>43087</c:v>
                </c:pt>
                <c:pt idx="828">
                  <c:v>14244</c:v>
                </c:pt>
                <c:pt idx="829">
                  <c:v>18511</c:v>
                </c:pt>
                <c:pt idx="830">
                  <c:v>12617</c:v>
                </c:pt>
                <c:pt idx="831">
                  <c:v>152232</c:v>
                </c:pt>
                <c:pt idx="832">
                  <c:v>8589</c:v>
                </c:pt>
                <c:pt idx="833">
                  <c:v>6956</c:v>
                </c:pt>
                <c:pt idx="834">
                  <c:v>16675</c:v>
                </c:pt>
                <c:pt idx="835">
                  <c:v>2809</c:v>
                </c:pt>
                <c:pt idx="836">
                  <c:v>11976</c:v>
                </c:pt>
                <c:pt idx="837">
                  <c:v>50782</c:v>
                </c:pt>
                <c:pt idx="838">
                  <c:v>83900</c:v>
                </c:pt>
                <c:pt idx="839">
                  <c:v>206094</c:v>
                </c:pt>
                <c:pt idx="840">
                  <c:v>76099</c:v>
                </c:pt>
                <c:pt idx="841">
                  <c:v>58336</c:v>
                </c:pt>
                <c:pt idx="842">
                  <c:v>10419</c:v>
                </c:pt>
                <c:pt idx="843">
                  <c:v>397798</c:v>
                </c:pt>
                <c:pt idx="844">
                  <c:v>81633</c:v>
                </c:pt>
                <c:pt idx="845">
                  <c:v>114853</c:v>
                </c:pt>
                <c:pt idx="846">
                  <c:v>101559</c:v>
                </c:pt>
                <c:pt idx="847">
                  <c:v>52966</c:v>
                </c:pt>
                <c:pt idx="848">
                  <c:v>43373</c:v>
                </c:pt>
                <c:pt idx="849">
                  <c:v>23924</c:v>
                </c:pt>
                <c:pt idx="850">
                  <c:v>46459</c:v>
                </c:pt>
                <c:pt idx="851">
                  <c:v>14787</c:v>
                </c:pt>
                <c:pt idx="852">
                  <c:v>25391</c:v>
                </c:pt>
                <c:pt idx="853">
                  <c:v>4011</c:v>
                </c:pt>
                <c:pt idx="854">
                  <c:v>13250</c:v>
                </c:pt>
                <c:pt idx="855">
                  <c:v>22087</c:v>
                </c:pt>
                <c:pt idx="856">
                  <c:v>295436</c:v>
                </c:pt>
                <c:pt idx="857">
                  <c:v>52951</c:v>
                </c:pt>
                <c:pt idx="858">
                  <c:v>14623</c:v>
                </c:pt>
                <c:pt idx="859">
                  <c:v>16904</c:v>
                </c:pt>
                <c:pt idx="860">
                  <c:v>38223</c:v>
                </c:pt>
                <c:pt idx="861">
                  <c:v>33576</c:v>
                </c:pt>
                <c:pt idx="862">
                  <c:v>1717</c:v>
                </c:pt>
                <c:pt idx="863">
                  <c:v>70846</c:v>
                </c:pt>
                <c:pt idx="864">
                  <c:v>16001</c:v>
                </c:pt>
                <c:pt idx="865">
                  <c:v>222413</c:v>
                </c:pt>
                <c:pt idx="866">
                  <c:v>371354</c:v>
                </c:pt>
                <c:pt idx="867">
                  <c:v>19988</c:v>
                </c:pt>
                <c:pt idx="868">
                  <c:v>2183</c:v>
                </c:pt>
                <c:pt idx="869">
                  <c:v>447455</c:v>
                </c:pt>
                <c:pt idx="870">
                  <c:v>375754</c:v>
                </c:pt>
                <c:pt idx="871">
                  <c:v>58711</c:v>
                </c:pt>
                <c:pt idx="872">
                  <c:v>315347</c:v>
                </c:pt>
                <c:pt idx="873">
                  <c:v>976</c:v>
                </c:pt>
                <c:pt idx="874">
                  <c:v>19264</c:v>
                </c:pt>
                <c:pt idx="875">
                  <c:v>476942</c:v>
                </c:pt>
                <c:pt idx="876">
                  <c:v>13582</c:v>
                </c:pt>
                <c:pt idx="877">
                  <c:v>28843</c:v>
                </c:pt>
                <c:pt idx="878">
                  <c:v>29866</c:v>
                </c:pt>
                <c:pt idx="879">
                  <c:v>29825</c:v>
                </c:pt>
                <c:pt idx="880">
                  <c:v>22627</c:v>
                </c:pt>
                <c:pt idx="881">
                  <c:v>3548</c:v>
                </c:pt>
                <c:pt idx="882">
                  <c:v>25939</c:v>
                </c:pt>
                <c:pt idx="883">
                  <c:v>5443</c:v>
                </c:pt>
                <c:pt idx="884">
                  <c:v>66171</c:v>
                </c:pt>
                <c:pt idx="885">
                  <c:v>16428</c:v>
                </c:pt>
                <c:pt idx="886">
                  <c:v>33748</c:v>
                </c:pt>
                <c:pt idx="887">
                  <c:v>257884</c:v>
                </c:pt>
                <c:pt idx="888">
                  <c:v>45413</c:v>
                </c:pt>
                <c:pt idx="889">
                  <c:v>1754</c:v>
                </c:pt>
                <c:pt idx="890">
                  <c:v>276</c:v>
                </c:pt>
                <c:pt idx="891">
                  <c:v>15505</c:v>
                </c:pt>
                <c:pt idx="892">
                  <c:v>14933</c:v>
                </c:pt>
                <c:pt idx="893">
                  <c:v>81936</c:v>
                </c:pt>
                <c:pt idx="894">
                  <c:v>57977</c:v>
                </c:pt>
                <c:pt idx="895">
                  <c:v>89229</c:v>
                </c:pt>
                <c:pt idx="896">
                  <c:v>4496</c:v>
                </c:pt>
                <c:pt idx="897">
                  <c:v>114649</c:v>
                </c:pt>
                <c:pt idx="898">
                  <c:v>57763</c:v>
                </c:pt>
                <c:pt idx="899">
                  <c:v>13664</c:v>
                </c:pt>
                <c:pt idx="900">
                  <c:v>64115</c:v>
                </c:pt>
                <c:pt idx="901">
                  <c:v>90328</c:v>
                </c:pt>
                <c:pt idx="902">
                  <c:v>35571</c:v>
                </c:pt>
                <c:pt idx="903">
                  <c:v>40905</c:v>
                </c:pt>
                <c:pt idx="904">
                  <c:v>28847</c:v>
                </c:pt>
                <c:pt idx="905">
                  <c:v>4581</c:v>
                </c:pt>
                <c:pt idx="906">
                  <c:v>231187</c:v>
                </c:pt>
                <c:pt idx="907">
                  <c:v>19046</c:v>
                </c:pt>
                <c:pt idx="908">
                  <c:v>24051</c:v>
                </c:pt>
                <c:pt idx="909">
                  <c:v>72929</c:v>
                </c:pt>
                <c:pt idx="910">
                  <c:v>53676</c:v>
                </c:pt>
                <c:pt idx="911">
                  <c:v>71115</c:v>
                </c:pt>
                <c:pt idx="912">
                  <c:v>37114</c:v>
                </c:pt>
                <c:pt idx="913">
                  <c:v>2081</c:v>
                </c:pt>
                <c:pt idx="914">
                  <c:v>1845</c:v>
                </c:pt>
                <c:pt idx="915">
                  <c:v>4817</c:v>
                </c:pt>
                <c:pt idx="916">
                  <c:v>128853</c:v>
                </c:pt>
                <c:pt idx="917">
                  <c:v>57654</c:v>
                </c:pt>
                <c:pt idx="918">
                  <c:v>47053</c:v>
                </c:pt>
                <c:pt idx="919">
                  <c:v>350053</c:v>
                </c:pt>
                <c:pt idx="920">
                  <c:v>129192</c:v>
                </c:pt>
                <c:pt idx="921">
                  <c:v>289201</c:v>
                </c:pt>
                <c:pt idx="922">
                  <c:v>14173</c:v>
                </c:pt>
                <c:pt idx="923">
                  <c:v>47814</c:v>
                </c:pt>
                <c:pt idx="924">
                  <c:v>1353</c:v>
                </c:pt>
                <c:pt idx="925">
                  <c:v>16306</c:v>
                </c:pt>
                <c:pt idx="926">
                  <c:v>69358</c:v>
                </c:pt>
                <c:pt idx="927">
                  <c:v>39610</c:v>
                </c:pt>
                <c:pt idx="928">
                  <c:v>47145</c:v>
                </c:pt>
                <c:pt idx="929">
                  <c:v>1328</c:v>
                </c:pt>
                <c:pt idx="930">
                  <c:v>44711</c:v>
                </c:pt>
                <c:pt idx="931">
                  <c:v>9790</c:v>
                </c:pt>
                <c:pt idx="932">
                  <c:v>82927</c:v>
                </c:pt>
                <c:pt idx="933">
                  <c:v>68786</c:v>
                </c:pt>
                <c:pt idx="934">
                  <c:v>79894</c:v>
                </c:pt>
                <c:pt idx="935">
                  <c:v>373146</c:v>
                </c:pt>
                <c:pt idx="936">
                  <c:v>28164</c:v>
                </c:pt>
                <c:pt idx="937">
                  <c:v>4663</c:v>
                </c:pt>
                <c:pt idx="938">
                  <c:v>23546</c:v>
                </c:pt>
                <c:pt idx="939">
                  <c:v>9924</c:v>
                </c:pt>
                <c:pt idx="940">
                  <c:v>39904</c:v>
                </c:pt>
                <c:pt idx="941">
                  <c:v>22877</c:v>
                </c:pt>
                <c:pt idx="942">
                  <c:v>252248</c:v>
                </c:pt>
                <c:pt idx="943">
                  <c:v>16226</c:v>
                </c:pt>
                <c:pt idx="944">
                  <c:v>5362</c:v>
                </c:pt>
                <c:pt idx="945">
                  <c:v>43568</c:v>
                </c:pt>
                <c:pt idx="946">
                  <c:v>7280</c:v>
                </c:pt>
                <c:pt idx="947">
                  <c:v>10413</c:v>
                </c:pt>
                <c:pt idx="948">
                  <c:v>15038</c:v>
                </c:pt>
                <c:pt idx="949">
                  <c:v>245722</c:v>
                </c:pt>
                <c:pt idx="950">
                  <c:v>11451</c:v>
                </c:pt>
                <c:pt idx="951">
                  <c:v>5966</c:v>
                </c:pt>
                <c:pt idx="952">
                  <c:v>47465</c:v>
                </c:pt>
                <c:pt idx="953">
                  <c:v>746</c:v>
                </c:pt>
                <c:pt idx="954">
                  <c:v>49179</c:v>
                </c:pt>
                <c:pt idx="955">
                  <c:v>6392</c:v>
                </c:pt>
                <c:pt idx="956">
                  <c:v>13214</c:v>
                </c:pt>
                <c:pt idx="957">
                  <c:v>273634</c:v>
                </c:pt>
                <c:pt idx="958">
                  <c:v>7961</c:v>
                </c:pt>
                <c:pt idx="959">
                  <c:v>12719</c:v>
                </c:pt>
                <c:pt idx="960">
                  <c:v>21544</c:v>
                </c:pt>
                <c:pt idx="961">
                  <c:v>99969</c:v>
                </c:pt>
                <c:pt idx="962">
                  <c:v>277010</c:v>
                </c:pt>
                <c:pt idx="963">
                  <c:v>14165</c:v>
                </c:pt>
                <c:pt idx="964">
                  <c:v>62223</c:v>
                </c:pt>
                <c:pt idx="965">
                  <c:v>376541</c:v>
                </c:pt>
                <c:pt idx="966">
                  <c:v>6165</c:v>
                </c:pt>
                <c:pt idx="967">
                  <c:v>23521</c:v>
                </c:pt>
                <c:pt idx="968">
                  <c:v>9282</c:v>
                </c:pt>
                <c:pt idx="969">
                  <c:v>26423</c:v>
                </c:pt>
                <c:pt idx="970">
                  <c:v>5462</c:v>
                </c:pt>
                <c:pt idx="971">
                  <c:v>9373</c:v>
                </c:pt>
                <c:pt idx="972">
                  <c:v>11118</c:v>
                </c:pt>
                <c:pt idx="973">
                  <c:v>20217</c:v>
                </c:pt>
                <c:pt idx="974">
                  <c:v>27250</c:v>
                </c:pt>
                <c:pt idx="975">
                  <c:v>11600</c:v>
                </c:pt>
                <c:pt idx="976">
                  <c:v>422218</c:v>
                </c:pt>
                <c:pt idx="977">
                  <c:v>7766</c:v>
                </c:pt>
                <c:pt idx="978">
                  <c:v>40881</c:v>
                </c:pt>
                <c:pt idx="979">
                  <c:v>14948</c:v>
                </c:pt>
                <c:pt idx="980">
                  <c:v>423592</c:v>
                </c:pt>
                <c:pt idx="981">
                  <c:v>25434</c:v>
                </c:pt>
                <c:pt idx="982">
                  <c:v>4418</c:v>
                </c:pt>
                <c:pt idx="983">
                  <c:v>2777</c:v>
                </c:pt>
                <c:pt idx="984">
                  <c:v>11582</c:v>
                </c:pt>
                <c:pt idx="985">
                  <c:v>5501</c:v>
                </c:pt>
                <c:pt idx="986">
                  <c:v>4273</c:v>
                </c:pt>
                <c:pt idx="987">
                  <c:v>22423</c:v>
                </c:pt>
                <c:pt idx="988">
                  <c:v>20903</c:v>
                </c:pt>
                <c:pt idx="989">
                  <c:v>96470</c:v>
                </c:pt>
                <c:pt idx="990">
                  <c:v>14054</c:v>
                </c:pt>
                <c:pt idx="991">
                  <c:v>3747</c:v>
                </c:pt>
                <c:pt idx="992">
                  <c:v>10380</c:v>
                </c:pt>
                <c:pt idx="993">
                  <c:v>22714</c:v>
                </c:pt>
                <c:pt idx="994">
                  <c:v>26648</c:v>
                </c:pt>
                <c:pt idx="995">
                  <c:v>2934</c:v>
                </c:pt>
                <c:pt idx="996">
                  <c:v>84023</c:v>
                </c:pt>
                <c:pt idx="997">
                  <c:v>10873</c:v>
                </c:pt>
              </c:numCache>
            </c:numRef>
          </c:xVal>
          <c:yVal>
            <c:numRef>
              <c:f>[0]!ReachRange</c:f>
              <c:numCache>
                <c:formatCode>#,##0</c:formatCode>
                <c:ptCount val="998"/>
                <c:pt idx="0">
                  <c:v>7733</c:v>
                </c:pt>
                <c:pt idx="1">
                  <c:v>11753</c:v>
                </c:pt>
                <c:pt idx="2">
                  <c:v>14185</c:v>
                </c:pt>
                <c:pt idx="3">
                  <c:v>188271</c:v>
                </c:pt>
                <c:pt idx="4">
                  <c:v>5637</c:v>
                </c:pt>
                <c:pt idx="5">
                  <c:v>3790</c:v>
                </c:pt>
                <c:pt idx="6">
                  <c:v>19926</c:v>
                </c:pt>
                <c:pt idx="7">
                  <c:v>4910</c:v>
                </c:pt>
                <c:pt idx="8">
                  <c:v>75092</c:v>
                </c:pt>
                <c:pt idx="9">
                  <c:v>16102</c:v>
                </c:pt>
                <c:pt idx="10">
                  <c:v>23651</c:v>
                </c:pt>
                <c:pt idx="11">
                  <c:v>208356</c:v>
                </c:pt>
                <c:pt idx="12">
                  <c:v>29632</c:v>
                </c:pt>
                <c:pt idx="13">
                  <c:v>15059</c:v>
                </c:pt>
                <c:pt idx="14">
                  <c:v>6800</c:v>
                </c:pt>
                <c:pt idx="15">
                  <c:v>11271</c:v>
                </c:pt>
                <c:pt idx="16">
                  <c:v>13712</c:v>
                </c:pt>
                <c:pt idx="17">
                  <c:v>14737</c:v>
                </c:pt>
                <c:pt idx="18">
                  <c:v>31199</c:v>
                </c:pt>
                <c:pt idx="19">
                  <c:v>615</c:v>
                </c:pt>
                <c:pt idx="20">
                  <c:v>91504</c:v>
                </c:pt>
                <c:pt idx="21">
                  <c:v>14375</c:v>
                </c:pt>
                <c:pt idx="22">
                  <c:v>4215</c:v>
                </c:pt>
                <c:pt idx="23">
                  <c:v>17131</c:v>
                </c:pt>
                <c:pt idx="24">
                  <c:v>11269</c:v>
                </c:pt>
                <c:pt idx="25">
                  <c:v>3851</c:v>
                </c:pt>
                <c:pt idx="26">
                  <c:v>129653</c:v>
                </c:pt>
                <c:pt idx="27">
                  <c:v>129585</c:v>
                </c:pt>
                <c:pt idx="28">
                  <c:v>1504</c:v>
                </c:pt>
                <c:pt idx="29">
                  <c:v>177152</c:v>
                </c:pt>
                <c:pt idx="30">
                  <c:v>21884</c:v>
                </c:pt>
                <c:pt idx="31">
                  <c:v>10461</c:v>
                </c:pt>
                <c:pt idx="32">
                  <c:v>33077</c:v>
                </c:pt>
                <c:pt idx="33">
                  <c:v>20034</c:v>
                </c:pt>
                <c:pt idx="34">
                  <c:v>25411</c:v>
                </c:pt>
                <c:pt idx="35">
                  <c:v>8915</c:v>
                </c:pt>
                <c:pt idx="36">
                  <c:v>130891</c:v>
                </c:pt>
                <c:pt idx="37">
                  <c:v>168420</c:v>
                </c:pt>
                <c:pt idx="38">
                  <c:v>520</c:v>
                </c:pt>
                <c:pt idx="39">
                  <c:v>241369</c:v>
                </c:pt>
                <c:pt idx="40">
                  <c:v>13157</c:v>
                </c:pt>
                <c:pt idx="41">
                  <c:v>9101</c:v>
                </c:pt>
                <c:pt idx="42">
                  <c:v>30993</c:v>
                </c:pt>
                <c:pt idx="43">
                  <c:v>62960</c:v>
                </c:pt>
                <c:pt idx="44">
                  <c:v>16717</c:v>
                </c:pt>
                <c:pt idx="45">
                  <c:v>49490</c:v>
                </c:pt>
                <c:pt idx="46">
                  <c:v>53877</c:v>
                </c:pt>
                <c:pt idx="47">
                  <c:v>222209</c:v>
                </c:pt>
                <c:pt idx="48">
                  <c:v>10584</c:v>
                </c:pt>
                <c:pt idx="49">
                  <c:v>6027</c:v>
                </c:pt>
                <c:pt idx="50">
                  <c:v>7920</c:v>
                </c:pt>
                <c:pt idx="51">
                  <c:v>41966</c:v>
                </c:pt>
                <c:pt idx="52">
                  <c:v>57025</c:v>
                </c:pt>
                <c:pt idx="53">
                  <c:v>174546</c:v>
                </c:pt>
                <c:pt idx="54">
                  <c:v>32641</c:v>
                </c:pt>
                <c:pt idx="55">
                  <c:v>8760</c:v>
                </c:pt>
                <c:pt idx="56">
                  <c:v>4428</c:v>
                </c:pt>
                <c:pt idx="57">
                  <c:v>53039</c:v>
                </c:pt>
                <c:pt idx="58">
                  <c:v>3861</c:v>
                </c:pt>
                <c:pt idx="59">
                  <c:v>114463</c:v>
                </c:pt>
                <c:pt idx="60">
                  <c:v>59514</c:v>
                </c:pt>
                <c:pt idx="61">
                  <c:v>4002</c:v>
                </c:pt>
                <c:pt idx="62">
                  <c:v>22934</c:v>
                </c:pt>
                <c:pt idx="63">
                  <c:v>27664</c:v>
                </c:pt>
                <c:pt idx="64">
                  <c:v>161505</c:v>
                </c:pt>
                <c:pt idx="65">
                  <c:v>5127</c:v>
                </c:pt>
                <c:pt idx="66">
                  <c:v>147642</c:v>
                </c:pt>
                <c:pt idx="67">
                  <c:v>341530</c:v>
                </c:pt>
                <c:pt idx="68">
                  <c:v>11545</c:v>
                </c:pt>
                <c:pt idx="69">
                  <c:v>10699</c:v>
                </c:pt>
                <c:pt idx="70">
                  <c:v>6047</c:v>
                </c:pt>
                <c:pt idx="71">
                  <c:v>6189</c:v>
                </c:pt>
                <c:pt idx="72">
                  <c:v>3035</c:v>
                </c:pt>
                <c:pt idx="73">
                  <c:v>95367</c:v>
                </c:pt>
                <c:pt idx="74">
                  <c:v>9572</c:v>
                </c:pt>
                <c:pt idx="75">
                  <c:v>121792</c:v>
                </c:pt>
                <c:pt idx="76">
                  <c:v>4990</c:v>
                </c:pt>
                <c:pt idx="77">
                  <c:v>58170</c:v>
                </c:pt>
                <c:pt idx="78">
                  <c:v>41354</c:v>
                </c:pt>
                <c:pt idx="79">
                  <c:v>22731</c:v>
                </c:pt>
                <c:pt idx="80">
                  <c:v>61447</c:v>
                </c:pt>
                <c:pt idx="81">
                  <c:v>12765</c:v>
                </c:pt>
                <c:pt idx="82">
                  <c:v>17586</c:v>
                </c:pt>
                <c:pt idx="83">
                  <c:v>6496</c:v>
                </c:pt>
                <c:pt idx="84">
                  <c:v>38491</c:v>
                </c:pt>
                <c:pt idx="85">
                  <c:v>10644</c:v>
                </c:pt>
                <c:pt idx="86">
                  <c:v>4035</c:v>
                </c:pt>
                <c:pt idx="87">
                  <c:v>34748</c:v>
                </c:pt>
                <c:pt idx="88">
                  <c:v>13031</c:v>
                </c:pt>
                <c:pt idx="89">
                  <c:v>43173</c:v>
                </c:pt>
                <c:pt idx="90">
                  <c:v>18514</c:v>
                </c:pt>
                <c:pt idx="91">
                  <c:v>9996</c:v>
                </c:pt>
                <c:pt idx="92">
                  <c:v>45181</c:v>
                </c:pt>
                <c:pt idx="93">
                  <c:v>12618</c:v>
                </c:pt>
                <c:pt idx="94">
                  <c:v>45052</c:v>
                </c:pt>
                <c:pt idx="95">
                  <c:v>112674</c:v>
                </c:pt>
                <c:pt idx="96">
                  <c:v>69857</c:v>
                </c:pt>
                <c:pt idx="97">
                  <c:v>13791</c:v>
                </c:pt>
                <c:pt idx="98">
                  <c:v>48408</c:v>
                </c:pt>
                <c:pt idx="99">
                  <c:v>373</c:v>
                </c:pt>
                <c:pt idx="100">
                  <c:v>106795</c:v>
                </c:pt>
                <c:pt idx="101">
                  <c:v>205850</c:v>
                </c:pt>
                <c:pt idx="102">
                  <c:v>5122</c:v>
                </c:pt>
                <c:pt idx="103">
                  <c:v>19797</c:v>
                </c:pt>
                <c:pt idx="104">
                  <c:v>3771</c:v>
                </c:pt>
                <c:pt idx="105">
                  <c:v>16651</c:v>
                </c:pt>
                <c:pt idx="106">
                  <c:v>61551</c:v>
                </c:pt>
                <c:pt idx="107">
                  <c:v>21307</c:v>
                </c:pt>
                <c:pt idx="108">
                  <c:v>18147</c:v>
                </c:pt>
                <c:pt idx="109">
                  <c:v>17997</c:v>
                </c:pt>
                <c:pt idx="110">
                  <c:v>17369</c:v>
                </c:pt>
                <c:pt idx="111">
                  <c:v>249854</c:v>
                </c:pt>
                <c:pt idx="112">
                  <c:v>5232</c:v>
                </c:pt>
                <c:pt idx="113">
                  <c:v>4500</c:v>
                </c:pt>
                <c:pt idx="114">
                  <c:v>156287</c:v>
                </c:pt>
                <c:pt idx="115">
                  <c:v>124724</c:v>
                </c:pt>
                <c:pt idx="116">
                  <c:v>21836</c:v>
                </c:pt>
                <c:pt idx="117">
                  <c:v>4321</c:v>
                </c:pt>
                <c:pt idx="118">
                  <c:v>266</c:v>
                </c:pt>
                <c:pt idx="119">
                  <c:v>91396</c:v>
                </c:pt>
                <c:pt idx="120">
                  <c:v>12865</c:v>
                </c:pt>
                <c:pt idx="121">
                  <c:v>13640</c:v>
                </c:pt>
                <c:pt idx="122">
                  <c:v>46050</c:v>
                </c:pt>
                <c:pt idx="123">
                  <c:v>30619</c:v>
                </c:pt>
                <c:pt idx="124">
                  <c:v>9067</c:v>
                </c:pt>
                <c:pt idx="125">
                  <c:v>7460</c:v>
                </c:pt>
                <c:pt idx="126">
                  <c:v>59848</c:v>
                </c:pt>
                <c:pt idx="127">
                  <c:v>118114</c:v>
                </c:pt>
                <c:pt idx="128">
                  <c:v>14164</c:v>
                </c:pt>
                <c:pt idx="129">
                  <c:v>198003</c:v>
                </c:pt>
                <c:pt idx="130">
                  <c:v>17934</c:v>
                </c:pt>
                <c:pt idx="131">
                  <c:v>14347</c:v>
                </c:pt>
                <c:pt idx="132">
                  <c:v>9717</c:v>
                </c:pt>
                <c:pt idx="133">
                  <c:v>10566</c:v>
                </c:pt>
                <c:pt idx="134">
                  <c:v>9124</c:v>
                </c:pt>
                <c:pt idx="135">
                  <c:v>41278</c:v>
                </c:pt>
                <c:pt idx="136">
                  <c:v>35482</c:v>
                </c:pt>
                <c:pt idx="137">
                  <c:v>33605</c:v>
                </c:pt>
                <c:pt idx="138">
                  <c:v>124623</c:v>
                </c:pt>
                <c:pt idx="139">
                  <c:v>16040</c:v>
                </c:pt>
                <c:pt idx="140">
                  <c:v>16442</c:v>
                </c:pt>
                <c:pt idx="141">
                  <c:v>222057</c:v>
                </c:pt>
                <c:pt idx="142">
                  <c:v>66958</c:v>
                </c:pt>
                <c:pt idx="143">
                  <c:v>126762</c:v>
                </c:pt>
                <c:pt idx="144">
                  <c:v>10245</c:v>
                </c:pt>
                <c:pt idx="145">
                  <c:v>123520</c:v>
                </c:pt>
                <c:pt idx="146">
                  <c:v>2621</c:v>
                </c:pt>
                <c:pt idx="147">
                  <c:v>18125</c:v>
                </c:pt>
                <c:pt idx="148">
                  <c:v>12829</c:v>
                </c:pt>
                <c:pt idx="149">
                  <c:v>8094</c:v>
                </c:pt>
                <c:pt idx="150">
                  <c:v>49276</c:v>
                </c:pt>
                <c:pt idx="151">
                  <c:v>135945</c:v>
                </c:pt>
                <c:pt idx="152">
                  <c:v>13193</c:v>
                </c:pt>
                <c:pt idx="153">
                  <c:v>1680</c:v>
                </c:pt>
                <c:pt idx="154">
                  <c:v>18661</c:v>
                </c:pt>
                <c:pt idx="155">
                  <c:v>9170</c:v>
                </c:pt>
                <c:pt idx="156">
                  <c:v>132787</c:v>
                </c:pt>
                <c:pt idx="157">
                  <c:v>221297</c:v>
                </c:pt>
                <c:pt idx="158">
                  <c:v>16607</c:v>
                </c:pt>
                <c:pt idx="159">
                  <c:v>5198</c:v>
                </c:pt>
                <c:pt idx="160">
                  <c:v>276</c:v>
                </c:pt>
                <c:pt idx="161">
                  <c:v>11416</c:v>
                </c:pt>
                <c:pt idx="162">
                  <c:v>15435</c:v>
                </c:pt>
                <c:pt idx="163">
                  <c:v>28102</c:v>
                </c:pt>
                <c:pt idx="164">
                  <c:v>6946</c:v>
                </c:pt>
                <c:pt idx="165">
                  <c:v>24178</c:v>
                </c:pt>
                <c:pt idx="166">
                  <c:v>13078</c:v>
                </c:pt>
                <c:pt idx="167">
                  <c:v>52756</c:v>
                </c:pt>
                <c:pt idx="168">
                  <c:v>24828</c:v>
                </c:pt>
                <c:pt idx="169">
                  <c:v>27103</c:v>
                </c:pt>
                <c:pt idx="170">
                  <c:v>11400</c:v>
                </c:pt>
                <c:pt idx="171">
                  <c:v>12342</c:v>
                </c:pt>
                <c:pt idx="172">
                  <c:v>9633</c:v>
                </c:pt>
                <c:pt idx="173">
                  <c:v>7167</c:v>
                </c:pt>
                <c:pt idx="174">
                  <c:v>34397</c:v>
                </c:pt>
                <c:pt idx="175">
                  <c:v>1213</c:v>
                </c:pt>
                <c:pt idx="176">
                  <c:v>69262</c:v>
                </c:pt>
                <c:pt idx="177">
                  <c:v>7004</c:v>
                </c:pt>
                <c:pt idx="178">
                  <c:v>4808</c:v>
                </c:pt>
                <c:pt idx="179">
                  <c:v>6665</c:v>
                </c:pt>
                <c:pt idx="180">
                  <c:v>67645</c:v>
                </c:pt>
                <c:pt idx="181">
                  <c:v>5968</c:v>
                </c:pt>
                <c:pt idx="182">
                  <c:v>26842</c:v>
                </c:pt>
                <c:pt idx="183">
                  <c:v>221165</c:v>
                </c:pt>
                <c:pt idx="184">
                  <c:v>122609</c:v>
                </c:pt>
                <c:pt idx="185">
                  <c:v>8621</c:v>
                </c:pt>
                <c:pt idx="186">
                  <c:v>40862</c:v>
                </c:pt>
                <c:pt idx="187">
                  <c:v>28274</c:v>
                </c:pt>
                <c:pt idx="188">
                  <c:v>63381</c:v>
                </c:pt>
                <c:pt idx="189">
                  <c:v>52716</c:v>
                </c:pt>
                <c:pt idx="190">
                  <c:v>9480</c:v>
                </c:pt>
                <c:pt idx="191">
                  <c:v>56359</c:v>
                </c:pt>
                <c:pt idx="192">
                  <c:v>3947</c:v>
                </c:pt>
                <c:pt idx="193">
                  <c:v>25017</c:v>
                </c:pt>
                <c:pt idx="194">
                  <c:v>25902</c:v>
                </c:pt>
                <c:pt idx="195">
                  <c:v>32640</c:v>
                </c:pt>
                <c:pt idx="196">
                  <c:v>80995</c:v>
                </c:pt>
                <c:pt idx="197">
                  <c:v>3932</c:v>
                </c:pt>
                <c:pt idx="198">
                  <c:v>52531</c:v>
                </c:pt>
                <c:pt idx="199">
                  <c:v>151849</c:v>
                </c:pt>
                <c:pt idx="200">
                  <c:v>5820</c:v>
                </c:pt>
                <c:pt idx="201">
                  <c:v>6309</c:v>
                </c:pt>
                <c:pt idx="202">
                  <c:v>155989</c:v>
                </c:pt>
                <c:pt idx="203">
                  <c:v>69186</c:v>
                </c:pt>
                <c:pt idx="204">
                  <c:v>2166</c:v>
                </c:pt>
                <c:pt idx="205">
                  <c:v>283</c:v>
                </c:pt>
                <c:pt idx="206">
                  <c:v>177637</c:v>
                </c:pt>
                <c:pt idx="207">
                  <c:v>13149</c:v>
                </c:pt>
                <c:pt idx="208">
                  <c:v>146612</c:v>
                </c:pt>
                <c:pt idx="209">
                  <c:v>14246</c:v>
                </c:pt>
                <c:pt idx="210">
                  <c:v>214531</c:v>
                </c:pt>
                <c:pt idx="211">
                  <c:v>55901</c:v>
                </c:pt>
                <c:pt idx="212">
                  <c:v>6568</c:v>
                </c:pt>
                <c:pt idx="213">
                  <c:v>15340</c:v>
                </c:pt>
                <c:pt idx="214">
                  <c:v>38154</c:v>
                </c:pt>
                <c:pt idx="215">
                  <c:v>1855</c:v>
                </c:pt>
                <c:pt idx="216">
                  <c:v>42276</c:v>
                </c:pt>
                <c:pt idx="217">
                  <c:v>10248</c:v>
                </c:pt>
                <c:pt idx="218">
                  <c:v>8690</c:v>
                </c:pt>
                <c:pt idx="219">
                  <c:v>28833</c:v>
                </c:pt>
                <c:pt idx="220">
                  <c:v>121115</c:v>
                </c:pt>
                <c:pt idx="221">
                  <c:v>16917</c:v>
                </c:pt>
                <c:pt idx="222">
                  <c:v>130370</c:v>
                </c:pt>
                <c:pt idx="223">
                  <c:v>485</c:v>
                </c:pt>
                <c:pt idx="224">
                  <c:v>33045</c:v>
                </c:pt>
                <c:pt idx="225">
                  <c:v>15868</c:v>
                </c:pt>
                <c:pt idx="226">
                  <c:v>48074</c:v>
                </c:pt>
                <c:pt idx="227">
                  <c:v>39276</c:v>
                </c:pt>
                <c:pt idx="228">
                  <c:v>44744</c:v>
                </c:pt>
                <c:pt idx="229">
                  <c:v>7249</c:v>
                </c:pt>
                <c:pt idx="230">
                  <c:v>19451</c:v>
                </c:pt>
                <c:pt idx="231">
                  <c:v>13405</c:v>
                </c:pt>
                <c:pt idx="232">
                  <c:v>43901</c:v>
                </c:pt>
                <c:pt idx="233">
                  <c:v>18868</c:v>
                </c:pt>
                <c:pt idx="234">
                  <c:v>4472</c:v>
                </c:pt>
                <c:pt idx="235">
                  <c:v>17487</c:v>
                </c:pt>
                <c:pt idx="236">
                  <c:v>17932</c:v>
                </c:pt>
                <c:pt idx="237">
                  <c:v>38645</c:v>
                </c:pt>
                <c:pt idx="238">
                  <c:v>4450</c:v>
                </c:pt>
                <c:pt idx="239">
                  <c:v>1073</c:v>
                </c:pt>
                <c:pt idx="240">
                  <c:v>70144</c:v>
                </c:pt>
                <c:pt idx="241">
                  <c:v>36906</c:v>
                </c:pt>
                <c:pt idx="242">
                  <c:v>88521</c:v>
                </c:pt>
                <c:pt idx="243">
                  <c:v>66263</c:v>
                </c:pt>
                <c:pt idx="244">
                  <c:v>210624</c:v>
                </c:pt>
                <c:pt idx="245">
                  <c:v>105559</c:v>
                </c:pt>
                <c:pt idx="246">
                  <c:v>2744</c:v>
                </c:pt>
                <c:pt idx="247">
                  <c:v>7549</c:v>
                </c:pt>
                <c:pt idx="248">
                  <c:v>33333</c:v>
                </c:pt>
                <c:pt idx="249">
                  <c:v>15268</c:v>
                </c:pt>
                <c:pt idx="250">
                  <c:v>11732</c:v>
                </c:pt>
                <c:pt idx="251">
                  <c:v>713</c:v>
                </c:pt>
                <c:pt idx="252">
                  <c:v>19555</c:v>
                </c:pt>
                <c:pt idx="253">
                  <c:v>22571</c:v>
                </c:pt>
                <c:pt idx="254">
                  <c:v>7065</c:v>
                </c:pt>
                <c:pt idx="255">
                  <c:v>10879</c:v>
                </c:pt>
                <c:pt idx="256">
                  <c:v>1347</c:v>
                </c:pt>
                <c:pt idx="257">
                  <c:v>5885</c:v>
                </c:pt>
                <c:pt idx="258">
                  <c:v>46191</c:v>
                </c:pt>
                <c:pt idx="259">
                  <c:v>75452</c:v>
                </c:pt>
                <c:pt idx="260">
                  <c:v>6660</c:v>
                </c:pt>
                <c:pt idx="261">
                  <c:v>9506</c:v>
                </c:pt>
                <c:pt idx="262">
                  <c:v>17999</c:v>
                </c:pt>
                <c:pt idx="263">
                  <c:v>44434</c:v>
                </c:pt>
                <c:pt idx="264">
                  <c:v>9843</c:v>
                </c:pt>
                <c:pt idx="265">
                  <c:v>82786</c:v>
                </c:pt>
                <c:pt idx="266">
                  <c:v>32862</c:v>
                </c:pt>
                <c:pt idx="267">
                  <c:v>13350</c:v>
                </c:pt>
                <c:pt idx="268">
                  <c:v>11582</c:v>
                </c:pt>
                <c:pt idx="269">
                  <c:v>1257</c:v>
                </c:pt>
                <c:pt idx="270">
                  <c:v>13317</c:v>
                </c:pt>
                <c:pt idx="271">
                  <c:v>37187</c:v>
                </c:pt>
                <c:pt idx="272">
                  <c:v>40622</c:v>
                </c:pt>
                <c:pt idx="273">
                  <c:v>11159</c:v>
                </c:pt>
                <c:pt idx="274">
                  <c:v>111826</c:v>
                </c:pt>
                <c:pt idx="275">
                  <c:v>244474</c:v>
                </c:pt>
                <c:pt idx="276">
                  <c:v>751</c:v>
                </c:pt>
                <c:pt idx="277">
                  <c:v>7922</c:v>
                </c:pt>
                <c:pt idx="278">
                  <c:v>96477</c:v>
                </c:pt>
                <c:pt idx="279">
                  <c:v>129762</c:v>
                </c:pt>
                <c:pt idx="280">
                  <c:v>8593</c:v>
                </c:pt>
                <c:pt idx="281">
                  <c:v>32443</c:v>
                </c:pt>
                <c:pt idx="282">
                  <c:v>43671</c:v>
                </c:pt>
                <c:pt idx="283">
                  <c:v>204299</c:v>
                </c:pt>
                <c:pt idx="284">
                  <c:v>74173</c:v>
                </c:pt>
                <c:pt idx="285">
                  <c:v>8063</c:v>
                </c:pt>
                <c:pt idx="286">
                  <c:v>28544</c:v>
                </c:pt>
                <c:pt idx="287">
                  <c:v>7910</c:v>
                </c:pt>
                <c:pt idx="288">
                  <c:v>160414</c:v>
                </c:pt>
                <c:pt idx="289">
                  <c:v>58771</c:v>
                </c:pt>
                <c:pt idx="290">
                  <c:v>81462</c:v>
                </c:pt>
                <c:pt idx="291">
                  <c:v>206102</c:v>
                </c:pt>
                <c:pt idx="292">
                  <c:v>113540</c:v>
                </c:pt>
                <c:pt idx="293">
                  <c:v>115285</c:v>
                </c:pt>
                <c:pt idx="294">
                  <c:v>5583</c:v>
                </c:pt>
                <c:pt idx="295">
                  <c:v>94642</c:v>
                </c:pt>
                <c:pt idx="296">
                  <c:v>12065</c:v>
                </c:pt>
                <c:pt idx="297">
                  <c:v>30899</c:v>
                </c:pt>
                <c:pt idx="298">
                  <c:v>20391</c:v>
                </c:pt>
                <c:pt idx="299">
                  <c:v>12056</c:v>
                </c:pt>
                <c:pt idx="300">
                  <c:v>14507</c:v>
                </c:pt>
                <c:pt idx="301">
                  <c:v>6279</c:v>
                </c:pt>
                <c:pt idx="302">
                  <c:v>121236</c:v>
                </c:pt>
                <c:pt idx="303">
                  <c:v>10680</c:v>
                </c:pt>
                <c:pt idx="304">
                  <c:v>11115</c:v>
                </c:pt>
                <c:pt idx="305">
                  <c:v>6969</c:v>
                </c:pt>
                <c:pt idx="306">
                  <c:v>681</c:v>
                </c:pt>
                <c:pt idx="307">
                  <c:v>7481</c:v>
                </c:pt>
                <c:pt idx="308">
                  <c:v>17113</c:v>
                </c:pt>
                <c:pt idx="309">
                  <c:v>79009</c:v>
                </c:pt>
                <c:pt idx="310">
                  <c:v>244556</c:v>
                </c:pt>
                <c:pt idx="311">
                  <c:v>12582</c:v>
                </c:pt>
                <c:pt idx="312">
                  <c:v>151146</c:v>
                </c:pt>
                <c:pt idx="313">
                  <c:v>16557</c:v>
                </c:pt>
                <c:pt idx="314">
                  <c:v>1430</c:v>
                </c:pt>
                <c:pt idx="315">
                  <c:v>68512</c:v>
                </c:pt>
                <c:pt idx="316">
                  <c:v>114749</c:v>
                </c:pt>
                <c:pt idx="317">
                  <c:v>11208</c:v>
                </c:pt>
                <c:pt idx="318">
                  <c:v>2737</c:v>
                </c:pt>
                <c:pt idx="319">
                  <c:v>3682</c:v>
                </c:pt>
                <c:pt idx="320">
                  <c:v>134992</c:v>
                </c:pt>
                <c:pt idx="321">
                  <c:v>12851</c:v>
                </c:pt>
                <c:pt idx="322">
                  <c:v>56905</c:v>
                </c:pt>
                <c:pt idx="323">
                  <c:v>3373</c:v>
                </c:pt>
                <c:pt idx="324">
                  <c:v>60976</c:v>
                </c:pt>
                <c:pt idx="325">
                  <c:v>7956</c:v>
                </c:pt>
                <c:pt idx="326">
                  <c:v>17472</c:v>
                </c:pt>
                <c:pt idx="327">
                  <c:v>14255</c:v>
                </c:pt>
                <c:pt idx="328">
                  <c:v>9234</c:v>
                </c:pt>
                <c:pt idx="329">
                  <c:v>5731</c:v>
                </c:pt>
                <c:pt idx="330">
                  <c:v>111513</c:v>
                </c:pt>
                <c:pt idx="331">
                  <c:v>7876</c:v>
                </c:pt>
                <c:pt idx="332">
                  <c:v>14594</c:v>
                </c:pt>
                <c:pt idx="333">
                  <c:v>4166</c:v>
                </c:pt>
                <c:pt idx="334">
                  <c:v>5138</c:v>
                </c:pt>
                <c:pt idx="335">
                  <c:v>6694</c:v>
                </c:pt>
                <c:pt idx="336">
                  <c:v>128198</c:v>
                </c:pt>
                <c:pt idx="337">
                  <c:v>25229</c:v>
                </c:pt>
                <c:pt idx="338">
                  <c:v>17521</c:v>
                </c:pt>
                <c:pt idx="339">
                  <c:v>4863</c:v>
                </c:pt>
                <c:pt idx="340">
                  <c:v>81476</c:v>
                </c:pt>
                <c:pt idx="341">
                  <c:v>10464</c:v>
                </c:pt>
                <c:pt idx="342">
                  <c:v>35535</c:v>
                </c:pt>
                <c:pt idx="343">
                  <c:v>15199</c:v>
                </c:pt>
                <c:pt idx="344">
                  <c:v>119268</c:v>
                </c:pt>
                <c:pt idx="345">
                  <c:v>10696</c:v>
                </c:pt>
                <c:pt idx="346">
                  <c:v>54662</c:v>
                </c:pt>
                <c:pt idx="347">
                  <c:v>14350</c:v>
                </c:pt>
                <c:pt idx="348">
                  <c:v>4885</c:v>
                </c:pt>
                <c:pt idx="349">
                  <c:v>18298</c:v>
                </c:pt>
                <c:pt idx="350">
                  <c:v>54712</c:v>
                </c:pt>
                <c:pt idx="351">
                  <c:v>1773</c:v>
                </c:pt>
                <c:pt idx="352">
                  <c:v>36305</c:v>
                </c:pt>
                <c:pt idx="353">
                  <c:v>17772</c:v>
                </c:pt>
                <c:pt idx="354">
                  <c:v>125768</c:v>
                </c:pt>
                <c:pt idx="355">
                  <c:v>95152</c:v>
                </c:pt>
                <c:pt idx="356">
                  <c:v>17467</c:v>
                </c:pt>
                <c:pt idx="357">
                  <c:v>25581</c:v>
                </c:pt>
                <c:pt idx="358">
                  <c:v>10027</c:v>
                </c:pt>
                <c:pt idx="359">
                  <c:v>66728</c:v>
                </c:pt>
                <c:pt idx="360">
                  <c:v>34730</c:v>
                </c:pt>
                <c:pt idx="361">
                  <c:v>7180</c:v>
                </c:pt>
                <c:pt idx="362">
                  <c:v>263375</c:v>
                </c:pt>
                <c:pt idx="363">
                  <c:v>9939</c:v>
                </c:pt>
                <c:pt idx="364">
                  <c:v>1102</c:v>
                </c:pt>
                <c:pt idx="365">
                  <c:v>57240</c:v>
                </c:pt>
                <c:pt idx="366">
                  <c:v>18733</c:v>
                </c:pt>
                <c:pt idx="367">
                  <c:v>75395</c:v>
                </c:pt>
                <c:pt idx="368">
                  <c:v>15454</c:v>
                </c:pt>
                <c:pt idx="369">
                  <c:v>95901</c:v>
                </c:pt>
                <c:pt idx="370">
                  <c:v>14251</c:v>
                </c:pt>
                <c:pt idx="371">
                  <c:v>15711</c:v>
                </c:pt>
                <c:pt idx="372">
                  <c:v>104771</c:v>
                </c:pt>
                <c:pt idx="373">
                  <c:v>2588</c:v>
                </c:pt>
                <c:pt idx="374">
                  <c:v>32381</c:v>
                </c:pt>
                <c:pt idx="375">
                  <c:v>22850</c:v>
                </c:pt>
                <c:pt idx="376">
                  <c:v>14673</c:v>
                </c:pt>
                <c:pt idx="377">
                  <c:v>97331</c:v>
                </c:pt>
                <c:pt idx="378">
                  <c:v>212977</c:v>
                </c:pt>
                <c:pt idx="379">
                  <c:v>26279</c:v>
                </c:pt>
                <c:pt idx="380">
                  <c:v>293652</c:v>
                </c:pt>
                <c:pt idx="381">
                  <c:v>18124</c:v>
                </c:pt>
                <c:pt idx="382">
                  <c:v>103519</c:v>
                </c:pt>
                <c:pt idx="383">
                  <c:v>12346</c:v>
                </c:pt>
                <c:pt idx="384">
                  <c:v>107091</c:v>
                </c:pt>
                <c:pt idx="385">
                  <c:v>6993</c:v>
                </c:pt>
                <c:pt idx="386">
                  <c:v>30264</c:v>
                </c:pt>
                <c:pt idx="387">
                  <c:v>6001</c:v>
                </c:pt>
                <c:pt idx="388">
                  <c:v>48960</c:v>
                </c:pt>
                <c:pt idx="389">
                  <c:v>16355</c:v>
                </c:pt>
                <c:pt idx="390">
                  <c:v>20778</c:v>
                </c:pt>
                <c:pt idx="391">
                  <c:v>1192</c:v>
                </c:pt>
                <c:pt idx="392">
                  <c:v>20809</c:v>
                </c:pt>
                <c:pt idx="393">
                  <c:v>36732</c:v>
                </c:pt>
                <c:pt idx="394">
                  <c:v>6678</c:v>
                </c:pt>
                <c:pt idx="395">
                  <c:v>5327</c:v>
                </c:pt>
                <c:pt idx="396">
                  <c:v>14540</c:v>
                </c:pt>
                <c:pt idx="397">
                  <c:v>5162</c:v>
                </c:pt>
                <c:pt idx="398">
                  <c:v>15829</c:v>
                </c:pt>
                <c:pt idx="399">
                  <c:v>2312</c:v>
                </c:pt>
                <c:pt idx="400">
                  <c:v>3287</c:v>
                </c:pt>
                <c:pt idx="401">
                  <c:v>107085</c:v>
                </c:pt>
                <c:pt idx="402">
                  <c:v>10706</c:v>
                </c:pt>
                <c:pt idx="403">
                  <c:v>31336</c:v>
                </c:pt>
                <c:pt idx="404">
                  <c:v>25161</c:v>
                </c:pt>
                <c:pt idx="405">
                  <c:v>15085</c:v>
                </c:pt>
                <c:pt idx="406">
                  <c:v>18250</c:v>
                </c:pt>
                <c:pt idx="407">
                  <c:v>9803</c:v>
                </c:pt>
                <c:pt idx="408">
                  <c:v>20603</c:v>
                </c:pt>
                <c:pt idx="409">
                  <c:v>12291</c:v>
                </c:pt>
                <c:pt idx="410">
                  <c:v>26853</c:v>
                </c:pt>
                <c:pt idx="411">
                  <c:v>40960</c:v>
                </c:pt>
                <c:pt idx="412">
                  <c:v>47147</c:v>
                </c:pt>
                <c:pt idx="413">
                  <c:v>47181</c:v>
                </c:pt>
                <c:pt idx="414">
                  <c:v>25392</c:v>
                </c:pt>
                <c:pt idx="415">
                  <c:v>1004</c:v>
                </c:pt>
                <c:pt idx="416">
                  <c:v>35446</c:v>
                </c:pt>
                <c:pt idx="417">
                  <c:v>7511</c:v>
                </c:pt>
                <c:pt idx="418">
                  <c:v>2252</c:v>
                </c:pt>
                <c:pt idx="419">
                  <c:v>19403</c:v>
                </c:pt>
                <c:pt idx="420">
                  <c:v>15756</c:v>
                </c:pt>
                <c:pt idx="421">
                  <c:v>111570</c:v>
                </c:pt>
                <c:pt idx="422">
                  <c:v>20919</c:v>
                </c:pt>
                <c:pt idx="423">
                  <c:v>79032</c:v>
                </c:pt>
                <c:pt idx="424">
                  <c:v>2740</c:v>
                </c:pt>
                <c:pt idx="425">
                  <c:v>12055</c:v>
                </c:pt>
                <c:pt idx="426">
                  <c:v>37138</c:v>
                </c:pt>
                <c:pt idx="427">
                  <c:v>17053</c:v>
                </c:pt>
                <c:pt idx="428">
                  <c:v>84135</c:v>
                </c:pt>
                <c:pt idx="429">
                  <c:v>9357</c:v>
                </c:pt>
                <c:pt idx="430">
                  <c:v>1627</c:v>
                </c:pt>
                <c:pt idx="431">
                  <c:v>5378</c:v>
                </c:pt>
                <c:pt idx="432">
                  <c:v>8602</c:v>
                </c:pt>
                <c:pt idx="433">
                  <c:v>11061</c:v>
                </c:pt>
                <c:pt idx="434">
                  <c:v>56804</c:v>
                </c:pt>
                <c:pt idx="435">
                  <c:v>19164</c:v>
                </c:pt>
                <c:pt idx="436">
                  <c:v>23514</c:v>
                </c:pt>
                <c:pt idx="437">
                  <c:v>10636</c:v>
                </c:pt>
                <c:pt idx="438">
                  <c:v>4208</c:v>
                </c:pt>
                <c:pt idx="439">
                  <c:v>44870</c:v>
                </c:pt>
                <c:pt idx="440">
                  <c:v>5221</c:v>
                </c:pt>
                <c:pt idx="441">
                  <c:v>211695</c:v>
                </c:pt>
                <c:pt idx="442">
                  <c:v>30012</c:v>
                </c:pt>
                <c:pt idx="443">
                  <c:v>132441</c:v>
                </c:pt>
                <c:pt idx="444">
                  <c:v>22917</c:v>
                </c:pt>
                <c:pt idx="445">
                  <c:v>35653</c:v>
                </c:pt>
                <c:pt idx="446">
                  <c:v>88273</c:v>
                </c:pt>
                <c:pt idx="447">
                  <c:v>695</c:v>
                </c:pt>
                <c:pt idx="448">
                  <c:v>2768</c:v>
                </c:pt>
                <c:pt idx="449">
                  <c:v>13525</c:v>
                </c:pt>
                <c:pt idx="450">
                  <c:v>16944</c:v>
                </c:pt>
                <c:pt idx="451">
                  <c:v>3519</c:v>
                </c:pt>
                <c:pt idx="452">
                  <c:v>5242</c:v>
                </c:pt>
                <c:pt idx="453">
                  <c:v>16471</c:v>
                </c:pt>
                <c:pt idx="454">
                  <c:v>141102</c:v>
                </c:pt>
                <c:pt idx="455">
                  <c:v>11376</c:v>
                </c:pt>
                <c:pt idx="456">
                  <c:v>51977</c:v>
                </c:pt>
                <c:pt idx="457">
                  <c:v>15430</c:v>
                </c:pt>
                <c:pt idx="458">
                  <c:v>6630</c:v>
                </c:pt>
                <c:pt idx="459">
                  <c:v>40403</c:v>
                </c:pt>
                <c:pt idx="460">
                  <c:v>2263</c:v>
                </c:pt>
                <c:pt idx="461">
                  <c:v>36923</c:v>
                </c:pt>
                <c:pt idx="462">
                  <c:v>21319</c:v>
                </c:pt>
                <c:pt idx="463">
                  <c:v>37194</c:v>
                </c:pt>
                <c:pt idx="464">
                  <c:v>146786</c:v>
                </c:pt>
                <c:pt idx="465">
                  <c:v>90796</c:v>
                </c:pt>
                <c:pt idx="466">
                  <c:v>12880</c:v>
                </c:pt>
                <c:pt idx="467">
                  <c:v>319894</c:v>
                </c:pt>
                <c:pt idx="468">
                  <c:v>7957</c:v>
                </c:pt>
                <c:pt idx="469">
                  <c:v>5366</c:v>
                </c:pt>
                <c:pt idx="470">
                  <c:v>13036</c:v>
                </c:pt>
                <c:pt idx="471">
                  <c:v>24272</c:v>
                </c:pt>
                <c:pt idx="472">
                  <c:v>21876</c:v>
                </c:pt>
                <c:pt idx="473">
                  <c:v>113189</c:v>
                </c:pt>
                <c:pt idx="474">
                  <c:v>3952</c:v>
                </c:pt>
                <c:pt idx="475">
                  <c:v>13074</c:v>
                </c:pt>
                <c:pt idx="476">
                  <c:v>42538</c:v>
                </c:pt>
                <c:pt idx="477">
                  <c:v>40636</c:v>
                </c:pt>
                <c:pt idx="478">
                  <c:v>2488</c:v>
                </c:pt>
                <c:pt idx="479">
                  <c:v>12041</c:v>
                </c:pt>
                <c:pt idx="480">
                  <c:v>29566</c:v>
                </c:pt>
                <c:pt idx="481">
                  <c:v>52026</c:v>
                </c:pt>
                <c:pt idx="482">
                  <c:v>31771</c:v>
                </c:pt>
                <c:pt idx="483">
                  <c:v>7912</c:v>
                </c:pt>
                <c:pt idx="484">
                  <c:v>5323</c:v>
                </c:pt>
                <c:pt idx="485">
                  <c:v>60405</c:v>
                </c:pt>
                <c:pt idx="486">
                  <c:v>8696</c:v>
                </c:pt>
                <c:pt idx="487">
                  <c:v>121043</c:v>
                </c:pt>
                <c:pt idx="488">
                  <c:v>5956</c:v>
                </c:pt>
                <c:pt idx="489">
                  <c:v>3382</c:v>
                </c:pt>
                <c:pt idx="490">
                  <c:v>270609</c:v>
                </c:pt>
                <c:pt idx="491">
                  <c:v>167484</c:v>
                </c:pt>
                <c:pt idx="492">
                  <c:v>6348</c:v>
                </c:pt>
                <c:pt idx="493">
                  <c:v>17441</c:v>
                </c:pt>
                <c:pt idx="494">
                  <c:v>20035</c:v>
                </c:pt>
                <c:pt idx="495">
                  <c:v>30967</c:v>
                </c:pt>
                <c:pt idx="496">
                  <c:v>20529</c:v>
                </c:pt>
                <c:pt idx="497">
                  <c:v>7526</c:v>
                </c:pt>
                <c:pt idx="498">
                  <c:v>10936</c:v>
                </c:pt>
                <c:pt idx="499">
                  <c:v>26399</c:v>
                </c:pt>
                <c:pt idx="500">
                  <c:v>7236</c:v>
                </c:pt>
                <c:pt idx="501">
                  <c:v>2372</c:v>
                </c:pt>
                <c:pt idx="502">
                  <c:v>19145</c:v>
                </c:pt>
                <c:pt idx="503">
                  <c:v>6896</c:v>
                </c:pt>
                <c:pt idx="504">
                  <c:v>16958</c:v>
                </c:pt>
                <c:pt idx="505">
                  <c:v>15492</c:v>
                </c:pt>
                <c:pt idx="506">
                  <c:v>12985</c:v>
                </c:pt>
                <c:pt idx="507">
                  <c:v>19575</c:v>
                </c:pt>
                <c:pt idx="508">
                  <c:v>21082</c:v>
                </c:pt>
                <c:pt idx="509">
                  <c:v>26556</c:v>
                </c:pt>
                <c:pt idx="510">
                  <c:v>11803</c:v>
                </c:pt>
                <c:pt idx="511">
                  <c:v>15214</c:v>
                </c:pt>
                <c:pt idx="512">
                  <c:v>4868</c:v>
                </c:pt>
                <c:pt idx="513">
                  <c:v>9250</c:v>
                </c:pt>
                <c:pt idx="514">
                  <c:v>128305</c:v>
                </c:pt>
                <c:pt idx="515">
                  <c:v>8575</c:v>
                </c:pt>
                <c:pt idx="516">
                  <c:v>8813</c:v>
                </c:pt>
                <c:pt idx="517">
                  <c:v>7587</c:v>
                </c:pt>
                <c:pt idx="518">
                  <c:v>23183</c:v>
                </c:pt>
                <c:pt idx="519">
                  <c:v>9872</c:v>
                </c:pt>
                <c:pt idx="520">
                  <c:v>25374</c:v>
                </c:pt>
                <c:pt idx="521">
                  <c:v>53928</c:v>
                </c:pt>
                <c:pt idx="522">
                  <c:v>4153</c:v>
                </c:pt>
                <c:pt idx="523">
                  <c:v>26782</c:v>
                </c:pt>
                <c:pt idx="524">
                  <c:v>71950</c:v>
                </c:pt>
                <c:pt idx="525">
                  <c:v>200204</c:v>
                </c:pt>
                <c:pt idx="526">
                  <c:v>22484</c:v>
                </c:pt>
                <c:pt idx="527">
                  <c:v>238</c:v>
                </c:pt>
                <c:pt idx="528">
                  <c:v>56351</c:v>
                </c:pt>
                <c:pt idx="529">
                  <c:v>27597</c:v>
                </c:pt>
                <c:pt idx="530">
                  <c:v>9493</c:v>
                </c:pt>
                <c:pt idx="531">
                  <c:v>14219</c:v>
                </c:pt>
                <c:pt idx="532">
                  <c:v>1290</c:v>
                </c:pt>
                <c:pt idx="533">
                  <c:v>161330</c:v>
                </c:pt>
                <c:pt idx="534">
                  <c:v>22976</c:v>
                </c:pt>
                <c:pt idx="535">
                  <c:v>225005</c:v>
                </c:pt>
                <c:pt idx="536">
                  <c:v>11583</c:v>
                </c:pt>
                <c:pt idx="537">
                  <c:v>45986</c:v>
                </c:pt>
                <c:pt idx="538">
                  <c:v>27591</c:v>
                </c:pt>
                <c:pt idx="539">
                  <c:v>8634</c:v>
                </c:pt>
                <c:pt idx="540">
                  <c:v>63793</c:v>
                </c:pt>
                <c:pt idx="541">
                  <c:v>6556</c:v>
                </c:pt>
                <c:pt idx="542">
                  <c:v>6240</c:v>
                </c:pt>
                <c:pt idx="543">
                  <c:v>55737</c:v>
                </c:pt>
                <c:pt idx="544">
                  <c:v>5654</c:v>
                </c:pt>
                <c:pt idx="545">
                  <c:v>4361</c:v>
                </c:pt>
                <c:pt idx="546">
                  <c:v>17632</c:v>
                </c:pt>
                <c:pt idx="547">
                  <c:v>6587</c:v>
                </c:pt>
                <c:pt idx="548">
                  <c:v>17953</c:v>
                </c:pt>
                <c:pt idx="549">
                  <c:v>189679</c:v>
                </c:pt>
                <c:pt idx="550">
                  <c:v>35477</c:v>
                </c:pt>
                <c:pt idx="551">
                  <c:v>169663</c:v>
                </c:pt>
                <c:pt idx="552">
                  <c:v>199498</c:v>
                </c:pt>
                <c:pt idx="553">
                  <c:v>12826</c:v>
                </c:pt>
                <c:pt idx="554">
                  <c:v>49365</c:v>
                </c:pt>
                <c:pt idx="555">
                  <c:v>216610</c:v>
                </c:pt>
                <c:pt idx="556">
                  <c:v>2511</c:v>
                </c:pt>
                <c:pt idx="557">
                  <c:v>33184</c:v>
                </c:pt>
                <c:pt idx="558">
                  <c:v>8025</c:v>
                </c:pt>
                <c:pt idx="559">
                  <c:v>37350</c:v>
                </c:pt>
                <c:pt idx="560">
                  <c:v>150070</c:v>
                </c:pt>
                <c:pt idx="561">
                  <c:v>1078</c:v>
                </c:pt>
                <c:pt idx="562">
                  <c:v>110046</c:v>
                </c:pt>
                <c:pt idx="563">
                  <c:v>6025</c:v>
                </c:pt>
                <c:pt idx="564">
                  <c:v>79412</c:v>
                </c:pt>
                <c:pt idx="565">
                  <c:v>6220</c:v>
                </c:pt>
                <c:pt idx="566">
                  <c:v>59574</c:v>
                </c:pt>
                <c:pt idx="567">
                  <c:v>23012</c:v>
                </c:pt>
                <c:pt idx="568">
                  <c:v>8700</c:v>
                </c:pt>
                <c:pt idx="569">
                  <c:v>8393</c:v>
                </c:pt>
                <c:pt idx="570">
                  <c:v>8238</c:v>
                </c:pt>
                <c:pt idx="571">
                  <c:v>140</c:v>
                </c:pt>
                <c:pt idx="572">
                  <c:v>18610</c:v>
                </c:pt>
                <c:pt idx="573">
                  <c:v>4395</c:v>
                </c:pt>
                <c:pt idx="574">
                  <c:v>4648</c:v>
                </c:pt>
                <c:pt idx="575">
                  <c:v>18849</c:v>
                </c:pt>
                <c:pt idx="576">
                  <c:v>30669</c:v>
                </c:pt>
                <c:pt idx="577">
                  <c:v>39448</c:v>
                </c:pt>
                <c:pt idx="578">
                  <c:v>26659</c:v>
                </c:pt>
                <c:pt idx="579">
                  <c:v>6696</c:v>
                </c:pt>
                <c:pt idx="580">
                  <c:v>47760</c:v>
                </c:pt>
                <c:pt idx="581">
                  <c:v>57555</c:v>
                </c:pt>
                <c:pt idx="582">
                  <c:v>1431</c:v>
                </c:pt>
                <c:pt idx="583">
                  <c:v>99914</c:v>
                </c:pt>
                <c:pt idx="584">
                  <c:v>4591</c:v>
                </c:pt>
                <c:pt idx="585">
                  <c:v>8874</c:v>
                </c:pt>
                <c:pt idx="586">
                  <c:v>141986</c:v>
                </c:pt>
                <c:pt idx="587">
                  <c:v>19157</c:v>
                </c:pt>
                <c:pt idx="588">
                  <c:v>64001</c:v>
                </c:pt>
                <c:pt idx="589">
                  <c:v>24583</c:v>
                </c:pt>
                <c:pt idx="590">
                  <c:v>139187</c:v>
                </c:pt>
                <c:pt idx="591">
                  <c:v>89146</c:v>
                </c:pt>
                <c:pt idx="592">
                  <c:v>3016</c:v>
                </c:pt>
                <c:pt idx="593">
                  <c:v>2836</c:v>
                </c:pt>
                <c:pt idx="594">
                  <c:v>12784</c:v>
                </c:pt>
                <c:pt idx="595">
                  <c:v>2972</c:v>
                </c:pt>
                <c:pt idx="596">
                  <c:v>13635</c:v>
                </c:pt>
                <c:pt idx="597">
                  <c:v>19733</c:v>
                </c:pt>
                <c:pt idx="598">
                  <c:v>2527</c:v>
                </c:pt>
                <c:pt idx="599">
                  <c:v>595</c:v>
                </c:pt>
                <c:pt idx="600">
                  <c:v>28609</c:v>
                </c:pt>
                <c:pt idx="601">
                  <c:v>9874</c:v>
                </c:pt>
                <c:pt idx="602">
                  <c:v>29828</c:v>
                </c:pt>
                <c:pt idx="603">
                  <c:v>33219</c:v>
                </c:pt>
                <c:pt idx="604">
                  <c:v>5469</c:v>
                </c:pt>
                <c:pt idx="605">
                  <c:v>9670</c:v>
                </c:pt>
                <c:pt idx="606">
                  <c:v>167895</c:v>
                </c:pt>
                <c:pt idx="607">
                  <c:v>12937</c:v>
                </c:pt>
                <c:pt idx="608">
                  <c:v>80749</c:v>
                </c:pt>
                <c:pt idx="609">
                  <c:v>24893</c:v>
                </c:pt>
                <c:pt idx="610">
                  <c:v>37650</c:v>
                </c:pt>
                <c:pt idx="611">
                  <c:v>11955</c:v>
                </c:pt>
                <c:pt idx="612">
                  <c:v>2949</c:v>
                </c:pt>
                <c:pt idx="613">
                  <c:v>174291</c:v>
                </c:pt>
                <c:pt idx="614">
                  <c:v>126621</c:v>
                </c:pt>
                <c:pt idx="615">
                  <c:v>46642</c:v>
                </c:pt>
                <c:pt idx="616">
                  <c:v>2551</c:v>
                </c:pt>
                <c:pt idx="617">
                  <c:v>186650</c:v>
                </c:pt>
                <c:pt idx="618">
                  <c:v>4573</c:v>
                </c:pt>
                <c:pt idx="619">
                  <c:v>11612</c:v>
                </c:pt>
                <c:pt idx="620">
                  <c:v>6048</c:v>
                </c:pt>
                <c:pt idx="621">
                  <c:v>8863</c:v>
                </c:pt>
                <c:pt idx="622">
                  <c:v>151935</c:v>
                </c:pt>
                <c:pt idx="623">
                  <c:v>4004</c:v>
                </c:pt>
                <c:pt idx="624">
                  <c:v>39633</c:v>
                </c:pt>
                <c:pt idx="625">
                  <c:v>9761</c:v>
                </c:pt>
                <c:pt idx="626">
                  <c:v>49001</c:v>
                </c:pt>
                <c:pt idx="627">
                  <c:v>17799</c:v>
                </c:pt>
                <c:pt idx="628">
                  <c:v>22601</c:v>
                </c:pt>
                <c:pt idx="629">
                  <c:v>22086</c:v>
                </c:pt>
                <c:pt idx="630">
                  <c:v>11601</c:v>
                </c:pt>
                <c:pt idx="631">
                  <c:v>14578</c:v>
                </c:pt>
                <c:pt idx="632">
                  <c:v>2312</c:v>
                </c:pt>
                <c:pt idx="633">
                  <c:v>10271</c:v>
                </c:pt>
                <c:pt idx="634">
                  <c:v>1864</c:v>
                </c:pt>
                <c:pt idx="635">
                  <c:v>7842</c:v>
                </c:pt>
                <c:pt idx="636">
                  <c:v>3909</c:v>
                </c:pt>
                <c:pt idx="637">
                  <c:v>209786</c:v>
                </c:pt>
                <c:pt idx="638">
                  <c:v>13668</c:v>
                </c:pt>
                <c:pt idx="639">
                  <c:v>30956</c:v>
                </c:pt>
                <c:pt idx="640">
                  <c:v>6898</c:v>
                </c:pt>
                <c:pt idx="641">
                  <c:v>13213</c:v>
                </c:pt>
                <c:pt idx="642">
                  <c:v>32445</c:v>
                </c:pt>
                <c:pt idx="643">
                  <c:v>8639</c:v>
                </c:pt>
                <c:pt idx="644">
                  <c:v>623</c:v>
                </c:pt>
                <c:pt idx="645">
                  <c:v>28603</c:v>
                </c:pt>
                <c:pt idx="646">
                  <c:v>199282</c:v>
                </c:pt>
                <c:pt idx="647">
                  <c:v>1085</c:v>
                </c:pt>
                <c:pt idx="648">
                  <c:v>29781</c:v>
                </c:pt>
                <c:pt idx="649">
                  <c:v>6596</c:v>
                </c:pt>
                <c:pt idx="650">
                  <c:v>28846</c:v>
                </c:pt>
                <c:pt idx="651">
                  <c:v>4927</c:v>
                </c:pt>
                <c:pt idx="652">
                  <c:v>10003</c:v>
                </c:pt>
                <c:pt idx="653">
                  <c:v>10566</c:v>
                </c:pt>
                <c:pt idx="654">
                  <c:v>10288</c:v>
                </c:pt>
                <c:pt idx="655">
                  <c:v>60150</c:v>
                </c:pt>
                <c:pt idx="656">
                  <c:v>132665</c:v>
                </c:pt>
                <c:pt idx="657">
                  <c:v>4794</c:v>
                </c:pt>
                <c:pt idx="658">
                  <c:v>9779</c:v>
                </c:pt>
                <c:pt idx="659">
                  <c:v>64807</c:v>
                </c:pt>
                <c:pt idx="660">
                  <c:v>19354</c:v>
                </c:pt>
                <c:pt idx="661">
                  <c:v>18309</c:v>
                </c:pt>
                <c:pt idx="662">
                  <c:v>16765</c:v>
                </c:pt>
                <c:pt idx="663">
                  <c:v>118382</c:v>
                </c:pt>
                <c:pt idx="664">
                  <c:v>14749</c:v>
                </c:pt>
                <c:pt idx="665">
                  <c:v>59476</c:v>
                </c:pt>
                <c:pt idx="666">
                  <c:v>6811</c:v>
                </c:pt>
                <c:pt idx="667">
                  <c:v>62205</c:v>
                </c:pt>
                <c:pt idx="668">
                  <c:v>12694</c:v>
                </c:pt>
                <c:pt idx="669">
                  <c:v>108919</c:v>
                </c:pt>
                <c:pt idx="670">
                  <c:v>105478</c:v>
                </c:pt>
                <c:pt idx="671">
                  <c:v>11633</c:v>
                </c:pt>
                <c:pt idx="672">
                  <c:v>29910</c:v>
                </c:pt>
                <c:pt idx="673">
                  <c:v>7169</c:v>
                </c:pt>
                <c:pt idx="674">
                  <c:v>7254</c:v>
                </c:pt>
                <c:pt idx="675">
                  <c:v>27199</c:v>
                </c:pt>
                <c:pt idx="676">
                  <c:v>101955</c:v>
                </c:pt>
                <c:pt idx="677">
                  <c:v>2971</c:v>
                </c:pt>
                <c:pt idx="678">
                  <c:v>56790</c:v>
                </c:pt>
                <c:pt idx="679">
                  <c:v>7295</c:v>
                </c:pt>
                <c:pt idx="680">
                  <c:v>23090</c:v>
                </c:pt>
                <c:pt idx="681">
                  <c:v>30039</c:v>
                </c:pt>
                <c:pt idx="682">
                  <c:v>10760</c:v>
                </c:pt>
                <c:pt idx="683">
                  <c:v>2931</c:v>
                </c:pt>
                <c:pt idx="684">
                  <c:v>34855</c:v>
                </c:pt>
                <c:pt idx="685">
                  <c:v>10443</c:v>
                </c:pt>
                <c:pt idx="686">
                  <c:v>1852</c:v>
                </c:pt>
                <c:pt idx="687">
                  <c:v>60218</c:v>
                </c:pt>
                <c:pt idx="688">
                  <c:v>18836</c:v>
                </c:pt>
                <c:pt idx="689">
                  <c:v>702</c:v>
                </c:pt>
                <c:pt idx="690">
                  <c:v>17070</c:v>
                </c:pt>
                <c:pt idx="691">
                  <c:v>7243</c:v>
                </c:pt>
                <c:pt idx="692">
                  <c:v>13577</c:v>
                </c:pt>
                <c:pt idx="693">
                  <c:v>23813</c:v>
                </c:pt>
                <c:pt idx="694">
                  <c:v>3418</c:v>
                </c:pt>
                <c:pt idx="695">
                  <c:v>7866</c:v>
                </c:pt>
                <c:pt idx="696">
                  <c:v>16443</c:v>
                </c:pt>
                <c:pt idx="697">
                  <c:v>24509</c:v>
                </c:pt>
                <c:pt idx="698">
                  <c:v>268928</c:v>
                </c:pt>
                <c:pt idx="699">
                  <c:v>1317</c:v>
                </c:pt>
                <c:pt idx="700">
                  <c:v>43898</c:v>
                </c:pt>
                <c:pt idx="701">
                  <c:v>26835</c:v>
                </c:pt>
                <c:pt idx="702">
                  <c:v>4557</c:v>
                </c:pt>
                <c:pt idx="703">
                  <c:v>9539</c:v>
                </c:pt>
                <c:pt idx="704">
                  <c:v>4784</c:v>
                </c:pt>
                <c:pt idx="705">
                  <c:v>675</c:v>
                </c:pt>
                <c:pt idx="706">
                  <c:v>3829</c:v>
                </c:pt>
                <c:pt idx="707">
                  <c:v>44346</c:v>
                </c:pt>
                <c:pt idx="708">
                  <c:v>17868</c:v>
                </c:pt>
                <c:pt idx="709">
                  <c:v>11746</c:v>
                </c:pt>
                <c:pt idx="710">
                  <c:v>45400</c:v>
                </c:pt>
                <c:pt idx="711">
                  <c:v>26752</c:v>
                </c:pt>
                <c:pt idx="712">
                  <c:v>21663</c:v>
                </c:pt>
                <c:pt idx="713">
                  <c:v>10753</c:v>
                </c:pt>
                <c:pt idx="714">
                  <c:v>2327</c:v>
                </c:pt>
                <c:pt idx="715">
                  <c:v>7818</c:v>
                </c:pt>
                <c:pt idx="716">
                  <c:v>11208</c:v>
                </c:pt>
                <c:pt idx="717">
                  <c:v>3795</c:v>
                </c:pt>
                <c:pt idx="718">
                  <c:v>21921</c:v>
                </c:pt>
                <c:pt idx="719">
                  <c:v>11560</c:v>
                </c:pt>
                <c:pt idx="720">
                  <c:v>35760</c:v>
                </c:pt>
                <c:pt idx="721">
                  <c:v>38483</c:v>
                </c:pt>
                <c:pt idx="722">
                  <c:v>5565</c:v>
                </c:pt>
                <c:pt idx="723">
                  <c:v>15386</c:v>
                </c:pt>
                <c:pt idx="724">
                  <c:v>55347</c:v>
                </c:pt>
                <c:pt idx="725">
                  <c:v>13111</c:v>
                </c:pt>
                <c:pt idx="726">
                  <c:v>56993</c:v>
                </c:pt>
                <c:pt idx="727">
                  <c:v>15606</c:v>
                </c:pt>
                <c:pt idx="728">
                  <c:v>28348</c:v>
                </c:pt>
                <c:pt idx="729">
                  <c:v>9857</c:v>
                </c:pt>
                <c:pt idx="730">
                  <c:v>187195</c:v>
                </c:pt>
                <c:pt idx="731">
                  <c:v>228827</c:v>
                </c:pt>
                <c:pt idx="732">
                  <c:v>15820</c:v>
                </c:pt>
                <c:pt idx="733">
                  <c:v>244938</c:v>
                </c:pt>
                <c:pt idx="734">
                  <c:v>102798</c:v>
                </c:pt>
                <c:pt idx="735">
                  <c:v>10653</c:v>
                </c:pt>
                <c:pt idx="736">
                  <c:v>1939</c:v>
                </c:pt>
                <c:pt idx="737">
                  <c:v>21842</c:v>
                </c:pt>
                <c:pt idx="738">
                  <c:v>27219</c:v>
                </c:pt>
                <c:pt idx="739">
                  <c:v>32514</c:v>
                </c:pt>
                <c:pt idx="740">
                  <c:v>4884</c:v>
                </c:pt>
                <c:pt idx="741">
                  <c:v>12830</c:v>
                </c:pt>
                <c:pt idx="742">
                  <c:v>11508</c:v>
                </c:pt>
                <c:pt idx="743">
                  <c:v>8832</c:v>
                </c:pt>
                <c:pt idx="744">
                  <c:v>2556</c:v>
                </c:pt>
                <c:pt idx="745">
                  <c:v>61067</c:v>
                </c:pt>
                <c:pt idx="746">
                  <c:v>20671</c:v>
                </c:pt>
                <c:pt idx="747">
                  <c:v>636</c:v>
                </c:pt>
                <c:pt idx="748">
                  <c:v>63107</c:v>
                </c:pt>
                <c:pt idx="749">
                  <c:v>10351</c:v>
                </c:pt>
                <c:pt idx="750">
                  <c:v>6550</c:v>
                </c:pt>
                <c:pt idx="751">
                  <c:v>269084</c:v>
                </c:pt>
                <c:pt idx="752">
                  <c:v>81926</c:v>
                </c:pt>
                <c:pt idx="753">
                  <c:v>15528</c:v>
                </c:pt>
                <c:pt idx="754">
                  <c:v>6185</c:v>
                </c:pt>
                <c:pt idx="755">
                  <c:v>4641</c:v>
                </c:pt>
                <c:pt idx="756">
                  <c:v>26667</c:v>
                </c:pt>
                <c:pt idx="757">
                  <c:v>22857</c:v>
                </c:pt>
                <c:pt idx="758">
                  <c:v>6610</c:v>
                </c:pt>
                <c:pt idx="759">
                  <c:v>10669</c:v>
                </c:pt>
                <c:pt idx="760">
                  <c:v>181713</c:v>
                </c:pt>
                <c:pt idx="761">
                  <c:v>93775</c:v>
                </c:pt>
                <c:pt idx="762">
                  <c:v>4154</c:v>
                </c:pt>
                <c:pt idx="763">
                  <c:v>13302</c:v>
                </c:pt>
                <c:pt idx="764">
                  <c:v>13973</c:v>
                </c:pt>
                <c:pt idx="765">
                  <c:v>5263</c:v>
                </c:pt>
                <c:pt idx="766">
                  <c:v>9735</c:v>
                </c:pt>
                <c:pt idx="767">
                  <c:v>3168</c:v>
                </c:pt>
                <c:pt idx="768">
                  <c:v>28588</c:v>
                </c:pt>
                <c:pt idx="769">
                  <c:v>167014</c:v>
                </c:pt>
                <c:pt idx="770">
                  <c:v>1770</c:v>
                </c:pt>
                <c:pt idx="771">
                  <c:v>8468</c:v>
                </c:pt>
                <c:pt idx="772">
                  <c:v>1610</c:v>
                </c:pt>
                <c:pt idx="773">
                  <c:v>18552</c:v>
                </c:pt>
                <c:pt idx="774">
                  <c:v>5128</c:v>
                </c:pt>
                <c:pt idx="775">
                  <c:v>36317</c:v>
                </c:pt>
                <c:pt idx="776">
                  <c:v>16797</c:v>
                </c:pt>
                <c:pt idx="777">
                  <c:v>148281</c:v>
                </c:pt>
                <c:pt idx="778">
                  <c:v>9567</c:v>
                </c:pt>
                <c:pt idx="779">
                  <c:v>200609</c:v>
                </c:pt>
                <c:pt idx="780">
                  <c:v>9773</c:v>
                </c:pt>
                <c:pt idx="781">
                  <c:v>5399</c:v>
                </c:pt>
                <c:pt idx="782">
                  <c:v>10531</c:v>
                </c:pt>
                <c:pt idx="783">
                  <c:v>15088</c:v>
                </c:pt>
                <c:pt idx="784">
                  <c:v>14840</c:v>
                </c:pt>
                <c:pt idx="785">
                  <c:v>45234</c:v>
                </c:pt>
                <c:pt idx="786">
                  <c:v>9257</c:v>
                </c:pt>
                <c:pt idx="787">
                  <c:v>185924</c:v>
                </c:pt>
                <c:pt idx="788">
                  <c:v>116276</c:v>
                </c:pt>
                <c:pt idx="789">
                  <c:v>33548</c:v>
                </c:pt>
                <c:pt idx="790">
                  <c:v>30742</c:v>
                </c:pt>
                <c:pt idx="791">
                  <c:v>24605</c:v>
                </c:pt>
                <c:pt idx="792">
                  <c:v>13473</c:v>
                </c:pt>
                <c:pt idx="793">
                  <c:v>126021</c:v>
                </c:pt>
                <c:pt idx="794">
                  <c:v>44593</c:v>
                </c:pt>
                <c:pt idx="795">
                  <c:v>10237</c:v>
                </c:pt>
                <c:pt idx="796">
                  <c:v>10784</c:v>
                </c:pt>
                <c:pt idx="797">
                  <c:v>13697</c:v>
                </c:pt>
                <c:pt idx="798">
                  <c:v>56147</c:v>
                </c:pt>
                <c:pt idx="799">
                  <c:v>13865</c:v>
                </c:pt>
                <c:pt idx="800">
                  <c:v>7013</c:v>
                </c:pt>
                <c:pt idx="801">
                  <c:v>8810</c:v>
                </c:pt>
                <c:pt idx="802">
                  <c:v>10540</c:v>
                </c:pt>
                <c:pt idx="803">
                  <c:v>12860</c:v>
                </c:pt>
                <c:pt idx="804">
                  <c:v>4735</c:v>
                </c:pt>
                <c:pt idx="805">
                  <c:v>51527</c:v>
                </c:pt>
                <c:pt idx="806">
                  <c:v>30186</c:v>
                </c:pt>
                <c:pt idx="807">
                  <c:v>15612</c:v>
                </c:pt>
                <c:pt idx="808">
                  <c:v>466</c:v>
                </c:pt>
                <c:pt idx="809">
                  <c:v>130450</c:v>
                </c:pt>
                <c:pt idx="810">
                  <c:v>2876</c:v>
                </c:pt>
                <c:pt idx="811">
                  <c:v>71596</c:v>
                </c:pt>
                <c:pt idx="812">
                  <c:v>7631</c:v>
                </c:pt>
                <c:pt idx="813">
                  <c:v>18430</c:v>
                </c:pt>
                <c:pt idx="814">
                  <c:v>8056</c:v>
                </c:pt>
                <c:pt idx="815">
                  <c:v>59291</c:v>
                </c:pt>
                <c:pt idx="816">
                  <c:v>19875</c:v>
                </c:pt>
                <c:pt idx="817">
                  <c:v>2037</c:v>
                </c:pt>
                <c:pt idx="818">
                  <c:v>9588</c:v>
                </c:pt>
                <c:pt idx="819">
                  <c:v>13827</c:v>
                </c:pt>
                <c:pt idx="820">
                  <c:v>70601</c:v>
                </c:pt>
                <c:pt idx="821">
                  <c:v>11970</c:v>
                </c:pt>
                <c:pt idx="822">
                  <c:v>142306</c:v>
                </c:pt>
                <c:pt idx="823">
                  <c:v>11891</c:v>
                </c:pt>
                <c:pt idx="824">
                  <c:v>10699</c:v>
                </c:pt>
                <c:pt idx="825">
                  <c:v>7128</c:v>
                </c:pt>
                <c:pt idx="826">
                  <c:v>20915</c:v>
                </c:pt>
                <c:pt idx="827">
                  <c:v>29240</c:v>
                </c:pt>
                <c:pt idx="828">
                  <c:v>12768</c:v>
                </c:pt>
                <c:pt idx="829">
                  <c:v>13972</c:v>
                </c:pt>
                <c:pt idx="830">
                  <c:v>9372</c:v>
                </c:pt>
                <c:pt idx="831">
                  <c:v>90649</c:v>
                </c:pt>
                <c:pt idx="832">
                  <c:v>3060</c:v>
                </c:pt>
                <c:pt idx="833">
                  <c:v>4036</c:v>
                </c:pt>
                <c:pt idx="834">
                  <c:v>5590</c:v>
                </c:pt>
                <c:pt idx="835">
                  <c:v>1265</c:v>
                </c:pt>
                <c:pt idx="836">
                  <c:v>7595</c:v>
                </c:pt>
                <c:pt idx="837">
                  <c:v>24146</c:v>
                </c:pt>
                <c:pt idx="838">
                  <c:v>49290</c:v>
                </c:pt>
                <c:pt idx="839">
                  <c:v>92209</c:v>
                </c:pt>
                <c:pt idx="840">
                  <c:v>59299</c:v>
                </c:pt>
                <c:pt idx="841">
                  <c:v>28891</c:v>
                </c:pt>
                <c:pt idx="842">
                  <c:v>5268</c:v>
                </c:pt>
                <c:pt idx="843">
                  <c:v>251973</c:v>
                </c:pt>
                <c:pt idx="844">
                  <c:v>42498</c:v>
                </c:pt>
                <c:pt idx="845">
                  <c:v>90322</c:v>
                </c:pt>
                <c:pt idx="846">
                  <c:v>37011</c:v>
                </c:pt>
                <c:pt idx="847">
                  <c:v>33208</c:v>
                </c:pt>
                <c:pt idx="848">
                  <c:v>27936</c:v>
                </c:pt>
                <c:pt idx="849">
                  <c:v>17276</c:v>
                </c:pt>
                <c:pt idx="850">
                  <c:v>22156</c:v>
                </c:pt>
                <c:pt idx="851">
                  <c:v>9920</c:v>
                </c:pt>
                <c:pt idx="852">
                  <c:v>11521</c:v>
                </c:pt>
                <c:pt idx="853">
                  <c:v>3061</c:v>
                </c:pt>
                <c:pt idx="854">
                  <c:v>6561</c:v>
                </c:pt>
                <c:pt idx="855">
                  <c:v>14182</c:v>
                </c:pt>
                <c:pt idx="856">
                  <c:v>113806</c:v>
                </c:pt>
                <c:pt idx="857">
                  <c:v>16963</c:v>
                </c:pt>
                <c:pt idx="858">
                  <c:v>7165</c:v>
                </c:pt>
                <c:pt idx="859">
                  <c:v>7010</c:v>
                </c:pt>
                <c:pt idx="860">
                  <c:v>15515</c:v>
                </c:pt>
                <c:pt idx="861">
                  <c:v>20539</c:v>
                </c:pt>
                <c:pt idx="862">
                  <c:v>1264</c:v>
                </c:pt>
                <c:pt idx="863">
                  <c:v>29721</c:v>
                </c:pt>
                <c:pt idx="864">
                  <c:v>14045</c:v>
                </c:pt>
                <c:pt idx="865">
                  <c:v>136652</c:v>
                </c:pt>
                <c:pt idx="866">
                  <c:v>158284</c:v>
                </c:pt>
                <c:pt idx="867">
                  <c:v>11201</c:v>
                </c:pt>
                <c:pt idx="868">
                  <c:v>1582</c:v>
                </c:pt>
                <c:pt idx="869">
                  <c:v>248265</c:v>
                </c:pt>
                <c:pt idx="870">
                  <c:v>180192</c:v>
                </c:pt>
                <c:pt idx="871">
                  <c:v>51306</c:v>
                </c:pt>
                <c:pt idx="872">
                  <c:v>113639</c:v>
                </c:pt>
                <c:pt idx="873">
                  <c:v>644</c:v>
                </c:pt>
                <c:pt idx="874">
                  <c:v>12632</c:v>
                </c:pt>
                <c:pt idx="875">
                  <c:v>275182</c:v>
                </c:pt>
                <c:pt idx="876">
                  <c:v>5738</c:v>
                </c:pt>
                <c:pt idx="877">
                  <c:v>19168</c:v>
                </c:pt>
                <c:pt idx="878">
                  <c:v>13649</c:v>
                </c:pt>
                <c:pt idx="879">
                  <c:v>16209</c:v>
                </c:pt>
                <c:pt idx="880">
                  <c:v>12566</c:v>
                </c:pt>
                <c:pt idx="881">
                  <c:v>2994</c:v>
                </c:pt>
                <c:pt idx="882">
                  <c:v>10890</c:v>
                </c:pt>
                <c:pt idx="883">
                  <c:v>2215</c:v>
                </c:pt>
                <c:pt idx="884">
                  <c:v>42597</c:v>
                </c:pt>
                <c:pt idx="885">
                  <c:v>5621</c:v>
                </c:pt>
                <c:pt idx="886">
                  <c:v>20652</c:v>
                </c:pt>
                <c:pt idx="887">
                  <c:v>169444</c:v>
                </c:pt>
                <c:pt idx="888">
                  <c:v>34207</c:v>
                </c:pt>
                <c:pt idx="889">
                  <c:v>1371</c:v>
                </c:pt>
                <c:pt idx="890">
                  <c:v>248</c:v>
                </c:pt>
                <c:pt idx="891">
                  <c:v>6664</c:v>
                </c:pt>
                <c:pt idx="892">
                  <c:v>8845</c:v>
                </c:pt>
                <c:pt idx="893">
                  <c:v>52909</c:v>
                </c:pt>
                <c:pt idx="894">
                  <c:v>40677</c:v>
                </c:pt>
                <c:pt idx="895">
                  <c:v>62294</c:v>
                </c:pt>
                <c:pt idx="896">
                  <c:v>2387</c:v>
                </c:pt>
                <c:pt idx="897">
                  <c:v>40915</c:v>
                </c:pt>
                <c:pt idx="898">
                  <c:v>39016</c:v>
                </c:pt>
                <c:pt idx="899">
                  <c:v>7037</c:v>
                </c:pt>
                <c:pt idx="900">
                  <c:v>40522</c:v>
                </c:pt>
                <c:pt idx="901">
                  <c:v>42224</c:v>
                </c:pt>
                <c:pt idx="902">
                  <c:v>26417</c:v>
                </c:pt>
                <c:pt idx="903">
                  <c:v>31015</c:v>
                </c:pt>
                <c:pt idx="904">
                  <c:v>16971</c:v>
                </c:pt>
                <c:pt idx="905">
                  <c:v>1515</c:v>
                </c:pt>
                <c:pt idx="906">
                  <c:v>120922</c:v>
                </c:pt>
                <c:pt idx="907">
                  <c:v>10075</c:v>
                </c:pt>
                <c:pt idx="908">
                  <c:v>10657</c:v>
                </c:pt>
                <c:pt idx="909">
                  <c:v>38930</c:v>
                </c:pt>
                <c:pt idx="910">
                  <c:v>37463</c:v>
                </c:pt>
                <c:pt idx="911">
                  <c:v>34108</c:v>
                </c:pt>
                <c:pt idx="912">
                  <c:v>21005</c:v>
                </c:pt>
                <c:pt idx="913">
                  <c:v>917</c:v>
                </c:pt>
                <c:pt idx="914">
                  <c:v>1615</c:v>
                </c:pt>
                <c:pt idx="915">
                  <c:v>3595</c:v>
                </c:pt>
                <c:pt idx="916">
                  <c:v>68911</c:v>
                </c:pt>
                <c:pt idx="917">
                  <c:v>26522</c:v>
                </c:pt>
                <c:pt idx="918">
                  <c:v>21925</c:v>
                </c:pt>
                <c:pt idx="919">
                  <c:v>177316</c:v>
                </c:pt>
                <c:pt idx="920">
                  <c:v>60725</c:v>
                </c:pt>
                <c:pt idx="921">
                  <c:v>117343</c:v>
                </c:pt>
                <c:pt idx="922">
                  <c:v>9631</c:v>
                </c:pt>
                <c:pt idx="923">
                  <c:v>18972</c:v>
                </c:pt>
                <c:pt idx="924">
                  <c:v>957</c:v>
                </c:pt>
                <c:pt idx="925">
                  <c:v>11783</c:v>
                </c:pt>
                <c:pt idx="926">
                  <c:v>34743</c:v>
                </c:pt>
                <c:pt idx="927">
                  <c:v>15900</c:v>
                </c:pt>
                <c:pt idx="928">
                  <c:v>34797</c:v>
                </c:pt>
                <c:pt idx="929">
                  <c:v>886</c:v>
                </c:pt>
                <c:pt idx="930">
                  <c:v>29695</c:v>
                </c:pt>
                <c:pt idx="931">
                  <c:v>4339</c:v>
                </c:pt>
                <c:pt idx="932">
                  <c:v>48095</c:v>
                </c:pt>
                <c:pt idx="933">
                  <c:v>52234</c:v>
                </c:pt>
                <c:pt idx="934">
                  <c:v>44755</c:v>
                </c:pt>
                <c:pt idx="935">
                  <c:v>195558</c:v>
                </c:pt>
                <c:pt idx="936">
                  <c:v>11721</c:v>
                </c:pt>
                <c:pt idx="937">
                  <c:v>2579</c:v>
                </c:pt>
                <c:pt idx="938">
                  <c:v>14843</c:v>
                </c:pt>
                <c:pt idx="939">
                  <c:v>6406</c:v>
                </c:pt>
                <c:pt idx="940">
                  <c:v>19181</c:v>
                </c:pt>
                <c:pt idx="941">
                  <c:v>9782</c:v>
                </c:pt>
                <c:pt idx="942">
                  <c:v>168800</c:v>
                </c:pt>
                <c:pt idx="943">
                  <c:v>13962</c:v>
                </c:pt>
                <c:pt idx="944">
                  <c:v>3547</c:v>
                </c:pt>
                <c:pt idx="945">
                  <c:v>28301</c:v>
                </c:pt>
                <c:pt idx="946">
                  <c:v>3066</c:v>
                </c:pt>
                <c:pt idx="947">
                  <c:v>8906</c:v>
                </c:pt>
                <c:pt idx="948">
                  <c:v>8320</c:v>
                </c:pt>
                <c:pt idx="949">
                  <c:v>96249</c:v>
                </c:pt>
                <c:pt idx="950">
                  <c:v>5857</c:v>
                </c:pt>
                <c:pt idx="951">
                  <c:v>3019</c:v>
                </c:pt>
                <c:pt idx="952">
                  <c:v>37269</c:v>
                </c:pt>
                <c:pt idx="953">
                  <c:v>392</c:v>
                </c:pt>
                <c:pt idx="954">
                  <c:v>19677</c:v>
                </c:pt>
                <c:pt idx="955">
                  <c:v>2878</c:v>
                </c:pt>
                <c:pt idx="956">
                  <c:v>9289</c:v>
                </c:pt>
                <c:pt idx="957">
                  <c:v>133368</c:v>
                </c:pt>
                <c:pt idx="958">
                  <c:v>6392</c:v>
                </c:pt>
                <c:pt idx="959">
                  <c:v>5518</c:v>
                </c:pt>
                <c:pt idx="960">
                  <c:v>13950</c:v>
                </c:pt>
                <c:pt idx="961">
                  <c:v>42551</c:v>
                </c:pt>
                <c:pt idx="962">
                  <c:v>138818</c:v>
                </c:pt>
                <c:pt idx="963">
                  <c:v>9162</c:v>
                </c:pt>
                <c:pt idx="964">
                  <c:v>34365</c:v>
                </c:pt>
                <c:pt idx="965">
                  <c:v>148247</c:v>
                </c:pt>
                <c:pt idx="966">
                  <c:v>2175</c:v>
                </c:pt>
                <c:pt idx="967">
                  <c:v>20054</c:v>
                </c:pt>
                <c:pt idx="968">
                  <c:v>5962</c:v>
                </c:pt>
                <c:pt idx="969">
                  <c:v>15975</c:v>
                </c:pt>
                <c:pt idx="970">
                  <c:v>3524</c:v>
                </c:pt>
                <c:pt idx="971">
                  <c:v>6591</c:v>
                </c:pt>
                <c:pt idx="972">
                  <c:v>5229</c:v>
                </c:pt>
                <c:pt idx="973">
                  <c:v>8590</c:v>
                </c:pt>
                <c:pt idx="974">
                  <c:v>16118</c:v>
                </c:pt>
                <c:pt idx="975">
                  <c:v>4905</c:v>
                </c:pt>
                <c:pt idx="976">
                  <c:v>218271</c:v>
                </c:pt>
                <c:pt idx="977">
                  <c:v>2559</c:v>
                </c:pt>
                <c:pt idx="978">
                  <c:v>28847</c:v>
                </c:pt>
                <c:pt idx="979">
                  <c:v>8117</c:v>
                </c:pt>
                <c:pt idx="980">
                  <c:v>184173</c:v>
                </c:pt>
                <c:pt idx="981">
                  <c:v>17008</c:v>
                </c:pt>
                <c:pt idx="982">
                  <c:v>2307</c:v>
                </c:pt>
                <c:pt idx="983">
                  <c:v>1342</c:v>
                </c:pt>
                <c:pt idx="984">
                  <c:v>5633</c:v>
                </c:pt>
                <c:pt idx="985">
                  <c:v>3359</c:v>
                </c:pt>
                <c:pt idx="986">
                  <c:v>2786</c:v>
                </c:pt>
                <c:pt idx="987">
                  <c:v>17363</c:v>
                </c:pt>
                <c:pt idx="988">
                  <c:v>10809</c:v>
                </c:pt>
                <c:pt idx="989">
                  <c:v>57260</c:v>
                </c:pt>
                <c:pt idx="990">
                  <c:v>9988</c:v>
                </c:pt>
                <c:pt idx="991">
                  <c:v>1978</c:v>
                </c:pt>
                <c:pt idx="992">
                  <c:v>4344</c:v>
                </c:pt>
                <c:pt idx="993">
                  <c:v>14395</c:v>
                </c:pt>
                <c:pt idx="994">
                  <c:v>9105</c:v>
                </c:pt>
                <c:pt idx="995">
                  <c:v>1462</c:v>
                </c:pt>
                <c:pt idx="996">
                  <c:v>35548</c:v>
                </c:pt>
                <c:pt idx="997">
                  <c:v>4156</c:v>
                </c:pt>
              </c:numCache>
            </c:numRef>
          </c:yVal>
          <c:smooth val="0"/>
          <c:extLst>
            <c:ext xmlns:c16="http://schemas.microsoft.com/office/drawing/2014/chart" uri="{C3380CC4-5D6E-409C-BE32-E72D297353CC}">
              <c16:uniqueId val="{00000000-B417-4B4C-90CB-4F791FA1BC71}"/>
            </c:ext>
          </c:extLst>
        </c:ser>
        <c:dLbls>
          <c:showLegendKey val="0"/>
          <c:showVal val="0"/>
          <c:showCatName val="0"/>
          <c:showSerName val="0"/>
          <c:showPercent val="0"/>
          <c:showBubbleSize val="0"/>
        </c:dLbls>
        <c:axId val="506940048"/>
        <c:axId val="290031280"/>
      </c:scatterChart>
      <c:valAx>
        <c:axId val="5069400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31280"/>
        <c:crosses val="autoZero"/>
        <c:crossBetween val="midCat"/>
      </c:valAx>
      <c:valAx>
        <c:axId val="290031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940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png"/><Relationship Id="rId5" Type="http://schemas.microsoft.com/office/2007/relationships/hdphoto" Target="../media/hdphoto1.wdp"/><Relationship Id="rId10" Type="http://schemas.openxmlformats.org/officeDocument/2006/relationships/image" Target="../media/image5.svg"/><Relationship Id="rId4" Type="http://schemas.openxmlformats.org/officeDocument/2006/relationships/image" Target="../media/image1.png"/><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2.png"/><Relationship Id="rId7" Type="http://schemas.openxmlformats.org/officeDocument/2006/relationships/image" Target="../media/image9.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8.pn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image" Target="../media/image3.svg"/><Relationship Id="rId9" Type="http://schemas.openxmlformats.org/officeDocument/2006/relationships/image" Target="../media/image11.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microsoft.com/office/2007/relationships/hdphoto" Target="../media/hdphoto1.wdp"/><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3956</xdr:colOff>
      <xdr:row>34</xdr:row>
      <xdr:rowOff>190200</xdr:rowOff>
    </xdr:to>
    <xdr:grpSp>
      <xdr:nvGrpSpPr>
        <xdr:cNvPr id="3" name="Group 2">
          <a:extLst>
            <a:ext uri="{FF2B5EF4-FFF2-40B4-BE49-F238E27FC236}">
              <a16:creationId xmlns:a16="http://schemas.microsoft.com/office/drawing/2014/main" id="{00000000-0008-0000-0300-000003000000}"/>
            </a:ext>
          </a:extLst>
        </xdr:cNvPr>
        <xdr:cNvGrpSpPr/>
      </xdr:nvGrpSpPr>
      <xdr:grpSpPr>
        <a:xfrm>
          <a:off x="0" y="0"/>
          <a:ext cx="12195956" cy="6667200"/>
          <a:chOff x="0" y="0"/>
          <a:chExt cx="12195956" cy="6667200"/>
        </a:xfrm>
      </xdr:grpSpPr>
      <xdr:grpSp>
        <xdr:nvGrpSpPr>
          <xdr:cNvPr id="18" name="Group 17">
            <a:extLst>
              <a:ext uri="{FF2B5EF4-FFF2-40B4-BE49-F238E27FC236}">
                <a16:creationId xmlns:a16="http://schemas.microsoft.com/office/drawing/2014/main" id="{00000000-0008-0000-0300-000012000000}"/>
              </a:ext>
            </a:extLst>
          </xdr:cNvPr>
          <xdr:cNvGrpSpPr/>
        </xdr:nvGrpSpPr>
        <xdr:grpSpPr>
          <a:xfrm>
            <a:off x="0" y="0"/>
            <a:ext cx="12195956" cy="6667200"/>
            <a:chOff x="-3956" y="0"/>
            <a:chExt cx="12195956" cy="6858000"/>
          </a:xfrm>
        </xdr:grpSpPr>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3956" y="0"/>
              <a:ext cx="12195956" cy="6858000"/>
            </a:xfrm>
            <a:prstGeom prst="roundRect">
              <a:avLst>
                <a:gd name="adj" fmla="val 2023"/>
              </a:avLst>
            </a:prstGeom>
            <a:solidFill>
              <a:schemeClr val="bg2">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 name="Rectangle: Rounded Corners 19">
              <a:extLst>
                <a:ext uri="{FF2B5EF4-FFF2-40B4-BE49-F238E27FC236}">
                  <a16:creationId xmlns:a16="http://schemas.microsoft.com/office/drawing/2014/main" id="{00000000-0008-0000-0300-000014000000}"/>
                </a:ext>
              </a:extLst>
            </xdr:cNvPr>
            <xdr:cNvSpPr/>
          </xdr:nvSpPr>
          <xdr:spPr>
            <a:xfrm>
              <a:off x="72000" y="72000"/>
              <a:ext cx="1514718"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Rectangle: Rounded Corners 20">
              <a:extLst>
                <a:ext uri="{FF2B5EF4-FFF2-40B4-BE49-F238E27FC236}">
                  <a16:creationId xmlns:a16="http://schemas.microsoft.com/office/drawing/2014/main" id="{00000000-0008-0000-0300-000015000000}"/>
                </a:ext>
              </a:extLst>
            </xdr:cNvPr>
            <xdr:cNvSpPr/>
          </xdr:nvSpPr>
          <xdr:spPr>
            <a:xfrm>
              <a:off x="1737945" y="72000"/>
              <a:ext cx="10382054"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800" b="1">
                  <a:solidFill>
                    <a:sysClr val="windowText" lastClr="000000"/>
                  </a:solidFill>
                  <a:latin typeface="Poppins" panose="00000500000000000000" pitchFamily="2" charset="0"/>
                  <a:cs typeface="Poppins" panose="00000500000000000000" pitchFamily="2" charset="0"/>
                </a:rPr>
                <a:t>PLATFORM</a:t>
              </a:r>
              <a:r>
                <a:rPr lang="en-US" sz="1800" b="1" baseline="0">
                  <a:solidFill>
                    <a:sysClr val="windowText" lastClr="000000"/>
                  </a:solidFill>
                  <a:latin typeface="Poppins" panose="00000500000000000000" pitchFamily="2" charset="0"/>
                  <a:cs typeface="Poppins" panose="00000500000000000000" pitchFamily="2" charset="0"/>
                </a:rPr>
                <a:t> &amp; CONTENT PERFORMANCE DASHBOARD</a:t>
              </a:r>
              <a:endParaRPr lang="en-US" sz="1800" b="1">
                <a:solidFill>
                  <a:sysClr val="windowText" lastClr="000000"/>
                </a:solidFill>
                <a:latin typeface="Poppins" panose="00000500000000000000" pitchFamily="2" charset="0"/>
                <a:cs typeface="Poppins" panose="00000500000000000000" pitchFamily="2" charset="0"/>
              </a:endParaRPr>
            </a:p>
          </xdr:txBody>
        </xdr:sp>
        <xdr:sp macro="" textlink="">
          <xdr:nvSpPr>
            <xdr:cNvPr id="22" name="Rectangle: Rounded Corners 21">
              <a:extLst>
                <a:ext uri="{FF2B5EF4-FFF2-40B4-BE49-F238E27FC236}">
                  <a16:creationId xmlns:a16="http://schemas.microsoft.com/office/drawing/2014/main" id="{00000000-0008-0000-0300-000016000000}"/>
                </a:ext>
              </a:extLst>
            </xdr:cNvPr>
            <xdr:cNvSpPr/>
          </xdr:nvSpPr>
          <xdr:spPr>
            <a:xfrm>
              <a:off x="72000" y="843525"/>
              <a:ext cx="1514718" cy="5942475"/>
            </a:xfrm>
            <a:prstGeom prst="roundRect">
              <a:avLst>
                <a:gd name="adj" fmla="val 66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1737945" y="843525"/>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000" b="1">
                  <a:solidFill>
                    <a:schemeClr val="tx1"/>
                  </a:solidFill>
                  <a:latin typeface="Poppins" panose="00000500000000000000" pitchFamily="2" charset="0"/>
                  <a:cs typeface="Poppins" panose="00000500000000000000" pitchFamily="2" charset="0"/>
                </a:rPr>
                <a:t>TOTAL POSTS</a:t>
              </a:r>
            </a:p>
          </xdr:txBody>
        </xdr:sp>
        <xdr:sp macro="" textlink="">
          <xdr:nvSpPr>
            <xdr:cNvPr id="24" name="Rectangle: Rounded Corners 23">
              <a:extLst>
                <a:ext uri="{FF2B5EF4-FFF2-40B4-BE49-F238E27FC236}">
                  <a16:creationId xmlns:a16="http://schemas.microsoft.com/office/drawing/2014/main" id="{00000000-0008-0000-0300-000018000000}"/>
                </a:ext>
              </a:extLst>
            </xdr:cNvPr>
            <xdr:cNvSpPr/>
          </xdr:nvSpPr>
          <xdr:spPr>
            <a:xfrm>
              <a:off x="1752103" y="2081637"/>
              <a:ext cx="6112077" cy="2290338"/>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chemeClr val="tx1"/>
                  </a:solidFill>
                  <a:latin typeface="Poppins" panose="00000500000000000000" pitchFamily="2" charset="0"/>
                  <a:cs typeface="Poppins" panose="00000500000000000000" pitchFamily="2" charset="0"/>
                </a:rPr>
                <a:t>AVG IMPRESSIONS BY PLATFORM (ENGAGEMENT</a:t>
              </a:r>
              <a:r>
                <a:rPr lang="en-US" sz="1200" b="1" baseline="0">
                  <a:solidFill>
                    <a:schemeClr val="tx1"/>
                  </a:solidFill>
                  <a:latin typeface="Poppins" panose="00000500000000000000" pitchFamily="2" charset="0"/>
                  <a:cs typeface="Poppins" panose="00000500000000000000" pitchFamily="2" charset="0"/>
                </a:rPr>
                <a:t> RATE %)</a:t>
              </a:r>
              <a:endParaRPr lang="en-US" sz="1200" b="1">
                <a:solidFill>
                  <a:schemeClr val="tx1"/>
                </a:solidFill>
                <a:latin typeface="Poppins" panose="00000500000000000000" pitchFamily="2" charset="0"/>
                <a:cs typeface="Poppins" panose="00000500000000000000" pitchFamily="2" charset="0"/>
              </a:endParaRPr>
            </a:p>
          </xdr:txBody>
        </xdr:sp>
        <xdr:sp macro="" textlink="">
          <xdr:nvSpPr>
            <xdr:cNvPr id="25" name="Rectangle: Rounded Corners 24">
              <a:extLst>
                <a:ext uri="{FF2B5EF4-FFF2-40B4-BE49-F238E27FC236}">
                  <a16:creationId xmlns:a16="http://schemas.microsoft.com/office/drawing/2014/main" id="{00000000-0008-0000-0300-000019000000}"/>
                </a:ext>
              </a:extLst>
            </xdr:cNvPr>
            <xdr:cNvSpPr/>
          </xdr:nvSpPr>
          <xdr:spPr>
            <a:xfrm>
              <a:off x="1752103" y="4495662"/>
              <a:ext cx="6112078" cy="2290338"/>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200" b="1" kern="1200">
                  <a:solidFill>
                    <a:schemeClr val="tx1"/>
                  </a:solidFill>
                  <a:latin typeface="Poppins" panose="00000500000000000000" pitchFamily="2" charset="0"/>
                  <a:ea typeface="+mn-ea"/>
                  <a:cs typeface="Poppins" panose="00000500000000000000" pitchFamily="2" charset="0"/>
                </a:rPr>
                <a:t>AVG IMPRESSIONS BY CONTENT TYPE (ENGAGEMENT RATE %)</a:t>
              </a:r>
            </a:p>
          </xdr:txBody>
        </xdr:sp>
        <xdr:sp macro="" textlink="">
          <xdr:nvSpPr>
            <xdr:cNvPr id="39" name="Rectangle: Rounded Corners 38">
              <a:extLst>
                <a:ext uri="{FF2B5EF4-FFF2-40B4-BE49-F238E27FC236}">
                  <a16:creationId xmlns:a16="http://schemas.microsoft.com/office/drawing/2014/main" id="{00000000-0008-0000-0300-000027000000}"/>
                </a:ext>
              </a:extLst>
            </xdr:cNvPr>
            <xdr:cNvSpPr/>
          </xdr:nvSpPr>
          <xdr:spPr>
            <a:xfrm>
              <a:off x="8029565" y="853544"/>
              <a:ext cx="4090430" cy="2862929"/>
            </a:xfrm>
            <a:prstGeom prst="roundRect">
              <a:avLst>
                <a:gd name="adj" fmla="val 64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000" b="1" kern="1200">
                  <a:solidFill>
                    <a:schemeClr val="tx1"/>
                  </a:solidFill>
                  <a:latin typeface="Poppins" panose="00000500000000000000" pitchFamily="2" charset="0"/>
                  <a:ea typeface="+mn-ea"/>
                  <a:cs typeface="Poppins" panose="00000500000000000000" pitchFamily="2" charset="0"/>
                </a:rPr>
                <a:t>AVG ENGAGEMENT RATE % BY PLATFORM &amp; CONTENT TYPE</a:t>
              </a:r>
            </a:p>
          </xdr:txBody>
        </xdr:sp>
        <xdr:sp macro="" textlink="">
          <xdr:nvSpPr>
            <xdr:cNvPr id="40" name="Rectangle: Rounded Corners 39">
              <a:extLst>
                <a:ext uri="{FF2B5EF4-FFF2-40B4-BE49-F238E27FC236}">
                  <a16:creationId xmlns:a16="http://schemas.microsoft.com/office/drawing/2014/main" id="{00000000-0008-0000-0300-000028000000}"/>
                </a:ext>
              </a:extLst>
            </xdr:cNvPr>
            <xdr:cNvSpPr/>
          </xdr:nvSpPr>
          <xdr:spPr>
            <a:xfrm>
              <a:off x="5897828" y="843525"/>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000" b="1" kern="1200">
                  <a:solidFill>
                    <a:schemeClr val="tx1"/>
                  </a:solidFill>
                  <a:latin typeface="Poppins" panose="00000500000000000000" pitchFamily="2" charset="0"/>
                  <a:ea typeface="+mn-ea"/>
                  <a:cs typeface="Poppins" panose="00000500000000000000" pitchFamily="2" charset="0"/>
                </a:rPr>
                <a:t>AVG</a:t>
              </a:r>
              <a:r>
                <a:rPr lang="en-US" sz="1000" b="1" kern="1200" baseline="0">
                  <a:solidFill>
                    <a:schemeClr val="tx1"/>
                  </a:solidFill>
                  <a:latin typeface="Poppins" panose="00000500000000000000" pitchFamily="2" charset="0"/>
                  <a:ea typeface="+mn-ea"/>
                  <a:cs typeface="Poppins" panose="00000500000000000000" pitchFamily="2" charset="0"/>
                </a:rPr>
                <a:t> REACH RATE</a:t>
              </a:r>
              <a:endParaRPr lang="en-US" sz="1000" b="1" kern="1200">
                <a:solidFill>
                  <a:schemeClr val="tx1"/>
                </a:solidFill>
                <a:latin typeface="Poppins" panose="00000500000000000000" pitchFamily="2" charset="0"/>
                <a:ea typeface="+mn-ea"/>
                <a:cs typeface="Poppins" panose="00000500000000000000" pitchFamily="2" charset="0"/>
              </a:endParaRPr>
            </a:p>
          </xdr:txBody>
        </xdr:sp>
        <xdr:sp macro="" textlink="">
          <xdr:nvSpPr>
            <xdr:cNvPr id="41" name="Rectangle: Rounded Corners 40">
              <a:extLst>
                <a:ext uri="{FF2B5EF4-FFF2-40B4-BE49-F238E27FC236}">
                  <a16:creationId xmlns:a16="http://schemas.microsoft.com/office/drawing/2014/main" id="{00000000-0008-0000-0300-000029000000}"/>
                </a:ext>
              </a:extLst>
            </xdr:cNvPr>
            <xdr:cNvSpPr/>
          </xdr:nvSpPr>
          <xdr:spPr>
            <a:xfrm>
              <a:off x="3817886" y="853544"/>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000" b="1">
                  <a:solidFill>
                    <a:schemeClr val="tx1"/>
                  </a:solidFill>
                  <a:latin typeface="Poppins" panose="00000500000000000000" pitchFamily="2" charset="0"/>
                  <a:cs typeface="Poppins" panose="00000500000000000000" pitchFamily="2" charset="0"/>
                </a:rPr>
                <a:t>AVG ENGAGEMENT</a:t>
              </a:r>
              <a:r>
                <a:rPr lang="en-US" sz="1000" b="1" baseline="0">
                  <a:solidFill>
                    <a:schemeClr val="tx1"/>
                  </a:solidFill>
                  <a:latin typeface="Poppins" panose="00000500000000000000" pitchFamily="2" charset="0"/>
                  <a:cs typeface="Poppins" panose="00000500000000000000" pitchFamily="2" charset="0"/>
                </a:rPr>
                <a:t> RATE %</a:t>
              </a:r>
              <a:endParaRPr lang="en-US" sz="1000" b="1">
                <a:solidFill>
                  <a:schemeClr val="tx1"/>
                </a:solidFill>
                <a:latin typeface="Poppins" panose="00000500000000000000" pitchFamily="2" charset="0"/>
                <a:cs typeface="Poppins" panose="00000500000000000000" pitchFamily="2" charset="0"/>
              </a:endParaRPr>
            </a:p>
          </xdr:txBody>
        </xdr:sp>
        <xdr:sp macro="" textlink="">
          <xdr:nvSpPr>
            <xdr:cNvPr id="42" name="Rectangle: Rounded Corners 41">
              <a:extLst>
                <a:ext uri="{FF2B5EF4-FFF2-40B4-BE49-F238E27FC236}">
                  <a16:creationId xmlns:a16="http://schemas.microsoft.com/office/drawing/2014/main" id="{00000000-0008-0000-0300-00002A000000}"/>
                </a:ext>
              </a:extLst>
            </xdr:cNvPr>
            <xdr:cNvSpPr/>
          </xdr:nvSpPr>
          <xdr:spPr>
            <a:xfrm>
              <a:off x="8029565" y="3923071"/>
              <a:ext cx="4090430" cy="2862929"/>
            </a:xfrm>
            <a:prstGeom prst="roundRect">
              <a:avLst>
                <a:gd name="adj" fmla="val 64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chemeClr val="tx1"/>
                  </a:solidFill>
                  <a:latin typeface="Poppins" panose="00000500000000000000" pitchFamily="2" charset="0"/>
                  <a:cs typeface="Poppins" panose="00000500000000000000" pitchFamily="2" charset="0"/>
                </a:rPr>
                <a:t>ENGAGEMENT</a:t>
              </a:r>
              <a:r>
                <a:rPr lang="en-US" sz="1200" b="1" baseline="0">
                  <a:solidFill>
                    <a:schemeClr val="tx1"/>
                  </a:solidFill>
                  <a:latin typeface="Poppins" panose="00000500000000000000" pitchFamily="2" charset="0"/>
                  <a:cs typeface="Poppins" panose="00000500000000000000" pitchFamily="2" charset="0"/>
                </a:rPr>
                <a:t> MIX BY PLATFORM</a:t>
              </a:r>
              <a:endParaRPr lang="en-US" sz="1200" b="1">
                <a:solidFill>
                  <a:schemeClr val="tx1"/>
                </a:solidFill>
                <a:latin typeface="Poppins" panose="00000500000000000000" pitchFamily="2" charset="0"/>
                <a:cs typeface="Poppins" panose="00000500000000000000" pitchFamily="2" charset="0"/>
              </a:endParaRPr>
            </a:p>
          </xdr:txBody>
        </xdr:sp>
      </xdr:grpSp>
      <xdr:sp macro="" textlink="Analysis!H2">
        <xdr:nvSpPr>
          <xdr:cNvPr id="43" name="TextBox 42">
            <a:extLst>
              <a:ext uri="{FF2B5EF4-FFF2-40B4-BE49-F238E27FC236}">
                <a16:creationId xmlns:a16="http://schemas.microsoft.com/office/drawing/2014/main" id="{00000000-0008-0000-0300-00002B000000}"/>
              </a:ext>
            </a:extLst>
          </xdr:cNvPr>
          <xdr:cNvSpPr txBox="1"/>
        </xdr:nvSpPr>
        <xdr:spPr>
          <a:xfrm>
            <a:off x="1846811" y="1390650"/>
            <a:ext cx="902491"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419E1B3-23B6-4494-9619-A0AB17B9E86A}" type="TxLink">
              <a:rPr lang="en-US" sz="2400" b="1" i="0" u="none" strike="noStrike">
                <a:solidFill>
                  <a:srgbClr val="000000"/>
                </a:solidFill>
                <a:latin typeface="Poppins" panose="00000500000000000000" pitchFamily="2" charset="0"/>
                <a:cs typeface="Poppins" panose="00000500000000000000" pitchFamily="2" charset="0"/>
              </a:rPr>
              <a:pPr algn="ctr"/>
              <a:t>1000</a:t>
            </a:fld>
            <a:endParaRPr lang="en-US" sz="2400" b="1">
              <a:solidFill>
                <a:schemeClr val="tx1"/>
              </a:solidFill>
              <a:latin typeface="Poppins" panose="00000500000000000000" pitchFamily="2" charset="0"/>
              <a:cs typeface="Poppins" panose="00000500000000000000" pitchFamily="2" charset="0"/>
            </a:endParaRPr>
          </a:p>
        </xdr:txBody>
      </xdr:sp>
      <xdr:sp macro="" textlink="Analysis!H3">
        <xdr:nvSpPr>
          <xdr:cNvPr id="46" name="TextBox 45">
            <a:extLst>
              <a:ext uri="{FF2B5EF4-FFF2-40B4-BE49-F238E27FC236}">
                <a16:creationId xmlns:a16="http://schemas.microsoft.com/office/drawing/2014/main" id="{00000000-0008-0000-0300-00002E000000}"/>
              </a:ext>
            </a:extLst>
          </xdr:cNvPr>
          <xdr:cNvSpPr txBox="1"/>
        </xdr:nvSpPr>
        <xdr:spPr>
          <a:xfrm>
            <a:off x="3924300" y="1400175"/>
            <a:ext cx="1019062"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17AAA0B-AB0D-4D29-815B-5675366C5EB0}" type="TxLink">
              <a:rPr lang="en-US" sz="2400" b="1" i="0" u="none" strike="noStrike">
                <a:solidFill>
                  <a:srgbClr val="000000"/>
                </a:solidFill>
                <a:latin typeface="Poppins" panose="00000500000000000000" pitchFamily="2" charset="0"/>
                <a:cs typeface="Poppins" panose="00000500000000000000" pitchFamily="2" charset="0"/>
              </a:rPr>
              <a:pPr algn="ctr"/>
              <a:t>7.18%</a:t>
            </a:fld>
            <a:endParaRPr lang="en-US" sz="2400" b="1">
              <a:solidFill>
                <a:schemeClr val="tx1"/>
              </a:solidFill>
              <a:latin typeface="Poppins" panose="00000500000000000000" pitchFamily="2" charset="0"/>
              <a:cs typeface="Poppins" panose="00000500000000000000" pitchFamily="2" charset="0"/>
            </a:endParaRPr>
          </a:p>
        </xdr:txBody>
      </xdr:sp>
      <xdr:sp macro="" textlink="Analysis!H4">
        <xdr:nvSpPr>
          <xdr:cNvPr id="47" name="TextBox 46">
            <a:extLst>
              <a:ext uri="{FF2B5EF4-FFF2-40B4-BE49-F238E27FC236}">
                <a16:creationId xmlns:a16="http://schemas.microsoft.com/office/drawing/2014/main" id="{00000000-0008-0000-0300-00002F000000}"/>
              </a:ext>
            </a:extLst>
          </xdr:cNvPr>
          <xdr:cNvSpPr txBox="1"/>
        </xdr:nvSpPr>
        <xdr:spPr>
          <a:xfrm>
            <a:off x="6010275" y="1390650"/>
            <a:ext cx="1160061"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4F6B5B64-85C6-4D9D-B6C0-213909F8EECB}" type="TxLink">
              <a:rPr lang="en-US" sz="2400" b="1" i="0" u="none" strike="noStrike">
                <a:solidFill>
                  <a:srgbClr val="000000"/>
                </a:solidFill>
                <a:latin typeface="Poppins" panose="00000500000000000000" pitchFamily="2" charset="0"/>
                <a:cs typeface="Poppins" panose="00000500000000000000" pitchFamily="2" charset="0"/>
              </a:rPr>
              <a:pPr algn="ctr"/>
              <a:t>51.91%</a:t>
            </a:fld>
            <a:endParaRPr lang="en-US" sz="2400" b="1">
              <a:solidFill>
                <a:schemeClr val="tx1"/>
              </a:solidFill>
              <a:latin typeface="Poppins" panose="00000500000000000000" pitchFamily="2" charset="0"/>
              <a:cs typeface="Poppins" panose="00000500000000000000" pitchFamily="2" charset="0"/>
            </a:endParaRPr>
          </a:p>
        </xdr:txBody>
      </xdr:sp>
      <mc:AlternateContent xmlns:mc="http://schemas.openxmlformats.org/markup-compatibility/2006" xmlns:a14="http://schemas.microsoft.com/office/drawing/2010/main">
        <mc:Choice Requires="a14">
          <xdr:graphicFrame macro="">
            <xdr:nvGraphicFramePr>
              <xdr:cNvPr id="48" name="Platform">
                <a:extLst>
                  <a:ext uri="{FF2B5EF4-FFF2-40B4-BE49-F238E27FC236}">
                    <a16:creationId xmlns:a16="http://schemas.microsoft.com/office/drawing/2014/main" id="{00000000-0008-0000-0300-000030000000}"/>
                  </a:ext>
                </a:extLst>
              </xdr:cNvPr>
              <xdr:cNvGraphicFramePr/>
            </xdr:nvGraphicFramePr>
            <xdr:xfrm>
              <a:off x="152399" y="1838325"/>
              <a:ext cx="1363050" cy="1819275"/>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52399" y="1838325"/>
                <a:ext cx="136305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Year">
                <a:extLst>
                  <a:ext uri="{FF2B5EF4-FFF2-40B4-BE49-F238E27FC236}">
                    <a16:creationId xmlns:a16="http://schemas.microsoft.com/office/drawing/2014/main" id="{00000000-0008-0000-0300-000031000000}"/>
                  </a:ext>
                </a:extLst>
              </xdr:cNvPr>
              <xdr:cNvGraphicFramePr/>
            </xdr:nvGraphicFramePr>
            <xdr:xfrm>
              <a:off x="152399" y="876299"/>
              <a:ext cx="1364400" cy="98107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399" y="876299"/>
                <a:ext cx="13644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Content">
                <a:extLst>
                  <a:ext uri="{FF2B5EF4-FFF2-40B4-BE49-F238E27FC236}">
                    <a16:creationId xmlns:a16="http://schemas.microsoft.com/office/drawing/2014/main" id="{00000000-0008-0000-0300-000032000000}"/>
                  </a:ext>
                </a:extLst>
              </xdr:cNvPr>
              <xdr:cNvGraphicFramePr/>
            </xdr:nvGraphicFramePr>
            <xdr:xfrm>
              <a:off x="142875" y="3638550"/>
              <a:ext cx="1364400" cy="1838325"/>
            </xdr:xfrm>
            <a:graphic>
              <a:graphicData uri="http://schemas.microsoft.com/office/drawing/2010/slicer">
                <sle:slicer xmlns:sle="http://schemas.microsoft.com/office/drawing/2010/slicer" name="Content"/>
              </a:graphicData>
            </a:graphic>
          </xdr:graphicFrame>
        </mc:Choice>
        <mc:Fallback xmlns="">
          <xdr:sp macro="" textlink="">
            <xdr:nvSpPr>
              <xdr:cNvPr id="0" name=""/>
              <xdr:cNvSpPr>
                <a:spLocks noTextEdit="1"/>
              </xdr:cNvSpPr>
            </xdr:nvSpPr>
            <xdr:spPr>
              <a:xfrm>
                <a:off x="142875" y="3638550"/>
                <a:ext cx="13644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83" name="Chart 82">
            <a:extLst>
              <a:ext uri="{FF2B5EF4-FFF2-40B4-BE49-F238E27FC236}">
                <a16:creationId xmlns:a16="http://schemas.microsoft.com/office/drawing/2014/main" id="{00000000-0008-0000-0300-000053000000}"/>
              </a:ext>
            </a:extLst>
          </xdr:cNvPr>
          <xdr:cNvGraphicFramePr>
            <a:graphicFrameLocks/>
          </xdr:cNvGraphicFramePr>
        </xdr:nvGraphicFramePr>
        <xdr:xfrm>
          <a:off x="1885950" y="2333625"/>
          <a:ext cx="5791200" cy="1905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1885950" y="4648200"/>
          <a:ext cx="5792400" cy="1926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8020050" y="1352550"/>
          <a:ext cx="4095750" cy="2257424"/>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8599" b="92994" l="9938" r="90373">
                        <a14:foregroundMark x1="45031" y1="49682" x2="45031" y2="49682"/>
                        <a14:foregroundMark x1="37578" y1="39809" x2="37578" y2="39809"/>
                        <a14:foregroundMark x1="30745" y1="8917" x2="30745" y2="8917"/>
                        <a14:foregroundMark x1="50000" y1="13376" x2="50000" y2="13376"/>
                        <a14:foregroundMark x1="56522" y1="20064" x2="56522" y2="20064"/>
                        <a14:foregroundMark x1="57143" y1="26115" x2="57143" y2="26115"/>
                        <a14:foregroundMark x1="53727" y1="31529" x2="53727" y2="31529"/>
                        <a14:foregroundMark x1="52484" y1="37580" x2="52484" y2="37580"/>
                        <a14:foregroundMark x1="64286" y1="50318" x2="64286" y2="50318"/>
                        <a14:foregroundMark x1="90373" y1="51911" x2="90373" y2="51911"/>
                        <a14:foregroundMark x1="38509" y1="75159" x2="38509" y2="75159"/>
                        <a14:foregroundMark x1="28261" y1="70064" x2="28261" y2="70064"/>
                        <a14:foregroundMark x1="41615" y1="64331" x2="41615" y2="64331"/>
                        <a14:foregroundMark x1="40062" y1="70064" x2="40062" y2="70064"/>
                        <a14:foregroundMark x1="37267" y1="81210" x2="37267" y2="81210"/>
                        <a14:foregroundMark x1="71118" y1="85669" x2="71118" y2="85669"/>
                        <a14:foregroundMark x1="64596" y1="92994" x2="64596" y2="92994"/>
                      </a14:backgroundRemoval>
                    </a14:imgEffect>
                  </a14:imgLayer>
                </a14:imgProps>
              </a:ext>
            </a:extLst>
          </a:blip>
          <a:stretch>
            <a:fillRect/>
          </a:stretch>
        </xdr:blipFill>
        <xdr:spPr>
          <a:xfrm>
            <a:off x="558374" y="147492"/>
            <a:ext cx="552450" cy="538725"/>
          </a:xfrm>
          <a:prstGeom prst="rect">
            <a:avLst/>
          </a:prstGeom>
        </xdr:spPr>
      </xdr:pic>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8020051" y="4333875"/>
          <a:ext cx="4096800" cy="2257200"/>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0" name="Graphic 9" descr="Thumbs up sign with solid fill">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95875" y="1409700"/>
            <a:ext cx="540000" cy="540000"/>
          </a:xfrm>
          <a:prstGeom prst="rect">
            <a:avLst/>
          </a:prstGeom>
        </xdr:spPr>
      </xdr:pic>
      <xdr:pic>
        <xdr:nvPicPr>
          <xdr:cNvPr id="12" name="Graphic 11" descr="Speech with solid fill">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09900" y="1400175"/>
            <a:ext cx="540000" cy="540000"/>
          </a:xfrm>
          <a:prstGeom prst="rect">
            <a:avLst/>
          </a:prstGeom>
        </xdr:spPr>
      </xdr:pic>
      <xdr:pic>
        <xdr:nvPicPr>
          <xdr:cNvPr id="14" name="Graphic 13" descr="Megaphone1 with solid fill">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172325" y="1400175"/>
            <a:ext cx="540000" cy="540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3956</xdr:colOff>
      <xdr:row>34</xdr:row>
      <xdr:rowOff>190200</xdr:rowOff>
    </xdr:to>
    <xdr:grpSp>
      <xdr:nvGrpSpPr>
        <xdr:cNvPr id="16" name="Group 15">
          <a:extLst>
            <a:ext uri="{FF2B5EF4-FFF2-40B4-BE49-F238E27FC236}">
              <a16:creationId xmlns:a16="http://schemas.microsoft.com/office/drawing/2014/main" id="{00000000-0008-0000-0400-000010000000}"/>
            </a:ext>
          </a:extLst>
        </xdr:cNvPr>
        <xdr:cNvGrpSpPr/>
      </xdr:nvGrpSpPr>
      <xdr:grpSpPr>
        <a:xfrm>
          <a:off x="0" y="0"/>
          <a:ext cx="12195956" cy="6667200"/>
          <a:chOff x="0" y="0"/>
          <a:chExt cx="12195956" cy="6667200"/>
        </a:xfrm>
      </xdr:grpSpPr>
      <xdr:grpSp>
        <xdr:nvGrpSpPr>
          <xdr:cNvPr id="2" name="Group 1">
            <a:extLst>
              <a:ext uri="{FF2B5EF4-FFF2-40B4-BE49-F238E27FC236}">
                <a16:creationId xmlns:a16="http://schemas.microsoft.com/office/drawing/2014/main" id="{00000000-0008-0000-0400-000002000000}"/>
              </a:ext>
            </a:extLst>
          </xdr:cNvPr>
          <xdr:cNvGrpSpPr/>
        </xdr:nvGrpSpPr>
        <xdr:grpSpPr>
          <a:xfrm>
            <a:off x="0" y="0"/>
            <a:ext cx="12195956" cy="6667200"/>
            <a:chOff x="-3956" y="0"/>
            <a:chExt cx="12195956" cy="6858000"/>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3956" y="0"/>
              <a:ext cx="12195956" cy="6858000"/>
            </a:xfrm>
            <a:prstGeom prst="roundRect">
              <a:avLst>
                <a:gd name="adj" fmla="val 2023"/>
              </a:avLst>
            </a:prstGeom>
            <a:solidFill>
              <a:schemeClr val="bg2">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72000" y="72000"/>
              <a:ext cx="1514718"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1737945" y="72000"/>
              <a:ext cx="10382054"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800" b="1">
                  <a:solidFill>
                    <a:sysClr val="windowText" lastClr="000000"/>
                  </a:solidFill>
                  <a:latin typeface="Poppins" panose="00000500000000000000" pitchFamily="2" charset="0"/>
                  <a:cs typeface="Poppins" panose="00000500000000000000" pitchFamily="2" charset="0"/>
                </a:rPr>
                <a:t>ENGAGEMENT</a:t>
              </a:r>
              <a:r>
                <a:rPr lang="en-US" sz="1800" b="1" baseline="0">
                  <a:solidFill>
                    <a:sysClr val="windowText" lastClr="000000"/>
                  </a:solidFill>
                  <a:latin typeface="Poppins" panose="00000500000000000000" pitchFamily="2" charset="0"/>
                  <a:cs typeface="Poppins" panose="00000500000000000000" pitchFamily="2" charset="0"/>
                </a:rPr>
                <a:t> TREND DASHBOARD</a:t>
              </a:r>
              <a:endParaRPr lang="en-US" sz="1800" b="1">
                <a:solidFill>
                  <a:sysClr val="windowText" lastClr="000000"/>
                </a:solidFill>
                <a:latin typeface="Poppins" panose="00000500000000000000" pitchFamily="2" charset="0"/>
                <a:cs typeface="Poppins" panose="00000500000000000000" pitchFamily="2" charset="0"/>
              </a:endParaRPr>
            </a:p>
          </xdr:txBody>
        </xdr:sp>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72000" y="843525"/>
              <a:ext cx="1514718" cy="5942475"/>
            </a:xfrm>
            <a:prstGeom prst="roundRect">
              <a:avLst>
                <a:gd name="adj" fmla="val 66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1737944" y="843525"/>
              <a:ext cx="3300781"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AVG</a:t>
              </a:r>
              <a:r>
                <a:rPr lang="en-US" sz="1200" b="1" baseline="0">
                  <a:solidFill>
                    <a:sysClr val="windowText" lastClr="000000"/>
                  </a:solidFill>
                  <a:latin typeface="Poppins" panose="00000500000000000000" pitchFamily="2" charset="0"/>
                  <a:cs typeface="Poppins" panose="00000500000000000000" pitchFamily="2" charset="0"/>
                </a:rPr>
                <a:t> ENGAGEMENT RATE %</a:t>
              </a:r>
              <a:endParaRPr lang="en-US" sz="1200" b="1">
                <a:solidFill>
                  <a:sysClr val="windowText" lastClr="000000"/>
                </a:solidFill>
                <a:latin typeface="Poppins" panose="00000500000000000000" pitchFamily="2" charset="0"/>
                <a:cs typeface="Poppins" panose="00000500000000000000" pitchFamily="2" charset="0"/>
              </a:endParaRPr>
            </a:p>
          </xdr:txBody>
        </xdr:sp>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1737944" y="2101674"/>
              <a:ext cx="5048747" cy="4684324"/>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600" b="1">
                  <a:solidFill>
                    <a:sysClr val="windowText" lastClr="000000"/>
                  </a:solidFill>
                  <a:latin typeface="Poppins" panose="00000500000000000000" pitchFamily="2" charset="0"/>
                  <a:cs typeface="Poppins" panose="00000500000000000000" pitchFamily="2" charset="0"/>
                </a:rPr>
                <a:t>AVG ENGAGEMENT RATE % BY</a:t>
              </a:r>
              <a:r>
                <a:rPr lang="en-US" sz="1600" b="1" baseline="0">
                  <a:solidFill>
                    <a:sysClr val="windowText" lastClr="000000"/>
                  </a:solidFill>
                  <a:latin typeface="Poppins" panose="00000500000000000000" pitchFamily="2" charset="0"/>
                  <a:cs typeface="Poppins" panose="00000500000000000000" pitchFamily="2" charset="0"/>
                </a:rPr>
                <a:t> MONTH</a:t>
              </a:r>
              <a:endParaRPr lang="en-US" sz="1600" b="1">
                <a:solidFill>
                  <a:sysClr val="windowText" lastClr="000000"/>
                </a:solidFill>
                <a:latin typeface="Poppins" panose="00000500000000000000" pitchFamily="2" charset="0"/>
                <a:cs typeface="Poppins" panose="00000500000000000000" pitchFamily="2" charset="0"/>
              </a:endParaRPr>
            </a:p>
          </xdr:txBody>
        </xdr:sp>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8819218" y="853544"/>
              <a:ext cx="3300781"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WORST PERFORMING MONTH</a:t>
              </a:r>
            </a:p>
          </xdr:txBody>
        </xdr:sp>
        <xdr:sp macro="" textlink="">
          <xdr:nvSpPr>
            <xdr:cNvPr id="10" name="Rectangle: Rounded Corners 9">
              <a:extLst>
                <a:ext uri="{FF2B5EF4-FFF2-40B4-BE49-F238E27FC236}">
                  <a16:creationId xmlns:a16="http://schemas.microsoft.com/office/drawing/2014/main" id="{00000000-0008-0000-0400-00000A000000}"/>
                </a:ext>
              </a:extLst>
            </xdr:cNvPr>
            <xdr:cNvSpPr/>
          </xdr:nvSpPr>
          <xdr:spPr>
            <a:xfrm>
              <a:off x="5278581" y="853544"/>
              <a:ext cx="3300781"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BEST PERFORMING MONTH</a:t>
              </a:r>
            </a:p>
          </xdr:txBody>
        </xdr:sp>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7071252" y="2101674"/>
              <a:ext cx="5048747" cy="4684324"/>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600" b="1">
                  <a:solidFill>
                    <a:sysClr val="windowText" lastClr="000000"/>
                  </a:solidFill>
                  <a:latin typeface="Poppins" panose="00000500000000000000" pitchFamily="2" charset="0"/>
                  <a:cs typeface="Poppins" panose="00000500000000000000" pitchFamily="2" charset="0"/>
                </a:rPr>
                <a:t>AVG</a:t>
              </a:r>
              <a:r>
                <a:rPr lang="en-US" sz="1600" b="1" baseline="0">
                  <a:solidFill>
                    <a:sysClr val="windowText" lastClr="000000"/>
                  </a:solidFill>
                  <a:latin typeface="Poppins" panose="00000500000000000000" pitchFamily="2" charset="0"/>
                  <a:cs typeface="Poppins" panose="00000500000000000000" pitchFamily="2" charset="0"/>
                </a:rPr>
                <a:t> ENGAGEMENT RATE %: 2024 VS. 2025</a:t>
              </a:r>
              <a:endParaRPr lang="en-US" sz="1600" b="1">
                <a:solidFill>
                  <a:sysClr val="windowText" lastClr="000000"/>
                </a:solidFill>
                <a:latin typeface="Poppins" panose="00000500000000000000" pitchFamily="2" charset="0"/>
                <a:cs typeface="Poppins" panose="00000500000000000000" pitchFamily="2" charset="0"/>
              </a:endParaRPr>
            </a:p>
          </xdr:txBody>
        </xdr:sp>
      </xdr:grpSp>
      <mc:AlternateContent xmlns:mc="http://schemas.openxmlformats.org/markup-compatibility/2006" xmlns:a14="http://schemas.microsoft.com/office/drawing/2010/main">
        <mc:Choice Requires="a14">
          <xdr:graphicFrame macro="">
            <xdr:nvGraphicFramePr>
              <xdr:cNvPr id="12" name="Platform 1">
                <a:extLst>
                  <a:ext uri="{FF2B5EF4-FFF2-40B4-BE49-F238E27FC236}">
                    <a16:creationId xmlns:a16="http://schemas.microsoft.com/office/drawing/2014/main" id="{00000000-0008-0000-0400-00000C000000}"/>
                  </a:ext>
                </a:extLst>
              </xdr:cNvPr>
              <xdr:cNvGraphicFramePr/>
            </xdr:nvGraphicFramePr>
            <xdr:xfrm>
              <a:off x="152399" y="1838326"/>
              <a:ext cx="1363050" cy="1819275"/>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52399" y="1838326"/>
                <a:ext cx="136305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00000000-0008-0000-0400-00000D000000}"/>
                  </a:ext>
                </a:extLst>
              </xdr:cNvPr>
              <xdr:cNvGraphicFramePr/>
            </xdr:nvGraphicFramePr>
            <xdr:xfrm>
              <a:off x="152399" y="866775"/>
              <a:ext cx="1364400" cy="981075"/>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2399" y="866775"/>
                <a:ext cx="13644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ontent 1">
                <a:extLst>
                  <a:ext uri="{FF2B5EF4-FFF2-40B4-BE49-F238E27FC236}">
                    <a16:creationId xmlns:a16="http://schemas.microsoft.com/office/drawing/2014/main" id="{00000000-0008-0000-0400-00000E000000}"/>
                  </a:ext>
                </a:extLst>
              </xdr:cNvPr>
              <xdr:cNvGraphicFramePr/>
            </xdr:nvGraphicFramePr>
            <xdr:xfrm>
              <a:off x="142875" y="3648076"/>
              <a:ext cx="1364400" cy="1838325"/>
            </xdr:xfrm>
            <a:graphic>
              <a:graphicData uri="http://schemas.microsoft.com/office/drawing/2010/slicer">
                <sle:slicer xmlns:sle="http://schemas.microsoft.com/office/drawing/2010/slicer" name="Content 1"/>
              </a:graphicData>
            </a:graphic>
          </xdr:graphicFrame>
        </mc:Choice>
        <mc:Fallback xmlns="">
          <xdr:sp macro="" textlink="">
            <xdr:nvSpPr>
              <xdr:cNvPr id="0" name=""/>
              <xdr:cNvSpPr>
                <a:spLocks noTextEdit="1"/>
              </xdr:cNvSpPr>
            </xdr:nvSpPr>
            <xdr:spPr>
              <a:xfrm>
                <a:off x="142875" y="3648076"/>
                <a:ext cx="13644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8599" b="92994" l="9938" r="90373">
                        <a14:foregroundMark x1="45031" y1="49682" x2="45031" y2="49682"/>
                        <a14:foregroundMark x1="37578" y1="39809" x2="37578" y2="39809"/>
                        <a14:foregroundMark x1="30745" y1="8917" x2="30745" y2="8917"/>
                        <a14:foregroundMark x1="50000" y1="13376" x2="50000" y2="13376"/>
                        <a14:foregroundMark x1="56522" y1="20064" x2="56522" y2="20064"/>
                        <a14:foregroundMark x1="57143" y1="26115" x2="57143" y2="26115"/>
                        <a14:foregroundMark x1="53727" y1="31529" x2="53727" y2="31529"/>
                        <a14:foregroundMark x1="52484" y1="37580" x2="52484" y2="37580"/>
                        <a14:foregroundMark x1="64286" y1="50318" x2="64286" y2="50318"/>
                        <a14:foregroundMark x1="90373" y1="51911" x2="90373" y2="51911"/>
                        <a14:foregroundMark x1="38509" y1="75159" x2="38509" y2="75159"/>
                        <a14:foregroundMark x1="28261" y1="70064" x2="28261" y2="70064"/>
                        <a14:foregroundMark x1="41615" y1="64331" x2="41615" y2="64331"/>
                        <a14:foregroundMark x1="40062" y1="70064" x2="40062" y2="70064"/>
                        <a14:foregroundMark x1="37267" y1="81210" x2="37267" y2="81210"/>
                        <a14:foregroundMark x1="71118" y1="85669" x2="71118" y2="85669"/>
                        <a14:foregroundMark x1="64596" y1="92994" x2="64596" y2="92994"/>
                      </a14:backgroundRemoval>
                    </a14:imgEffect>
                  </a14:imgLayer>
                </a14:imgProps>
              </a:ext>
            </a:extLst>
          </a:blip>
          <a:stretch>
            <a:fillRect/>
          </a:stretch>
        </xdr:blipFill>
        <xdr:spPr>
          <a:xfrm>
            <a:off x="558374" y="142875"/>
            <a:ext cx="552450" cy="538725"/>
          </a:xfrm>
          <a:prstGeom prst="rect">
            <a:avLst/>
          </a:prstGeom>
        </xdr:spPr>
      </xdr:pic>
      <xdr:pic>
        <xdr:nvPicPr>
          <xdr:cNvPr id="18" name="Graphic 17" descr="Thumbs up sign with solid fill">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95775" y="1352550"/>
            <a:ext cx="540000" cy="540000"/>
          </a:xfrm>
          <a:prstGeom prst="rect">
            <a:avLst/>
          </a:prstGeom>
        </xdr:spPr>
      </xdr:pic>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1885950" y="2962275"/>
          <a:ext cx="4733925" cy="3476625"/>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21" name="Graphic 20" descr="Bar graph with upward trend with solid fill">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67650" y="1362075"/>
            <a:ext cx="540000" cy="540000"/>
          </a:xfrm>
          <a:prstGeom prst="rect">
            <a:avLst/>
          </a:prstGeom>
        </xdr:spPr>
      </xdr:pic>
      <xdr:pic>
        <xdr:nvPicPr>
          <xdr:cNvPr id="23" name="Graphic 22" descr="Bar graph with downward trend with solid fill">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82375" y="1362075"/>
            <a:ext cx="540000" cy="540000"/>
          </a:xfrm>
          <a:prstGeom prst="rect">
            <a:avLst/>
          </a:prstGeom>
        </xdr:spPr>
      </xdr:pic>
      <xdr:sp macro="" textlink="Analysis!H3">
        <xdr:nvSpPr>
          <xdr:cNvPr id="24" name="TextBox 23">
            <a:extLst>
              <a:ext uri="{FF2B5EF4-FFF2-40B4-BE49-F238E27FC236}">
                <a16:creationId xmlns:a16="http://schemas.microsoft.com/office/drawing/2014/main" id="{00000000-0008-0000-0400-000018000000}"/>
              </a:ext>
            </a:extLst>
          </xdr:cNvPr>
          <xdr:cNvSpPr txBox="1"/>
        </xdr:nvSpPr>
        <xdr:spPr>
          <a:xfrm>
            <a:off x="1943100" y="1343025"/>
            <a:ext cx="1019062"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17AAA0B-AB0D-4D29-815B-5675366C5EB0}" type="TxLink">
              <a:rPr lang="en-US" sz="2400" b="1" i="0" u="none" strike="noStrike">
                <a:solidFill>
                  <a:srgbClr val="000000"/>
                </a:solidFill>
                <a:latin typeface="Poppins" panose="00000500000000000000" pitchFamily="2" charset="0"/>
                <a:cs typeface="Poppins" panose="00000500000000000000" pitchFamily="2" charset="0"/>
              </a:rPr>
              <a:pPr algn="ctr"/>
              <a:t>7.18%</a:t>
            </a:fld>
            <a:endParaRPr lang="en-US" sz="2400" b="1">
              <a:solidFill>
                <a:schemeClr val="tx1"/>
              </a:solidFill>
              <a:latin typeface="Poppins" panose="00000500000000000000" pitchFamily="2" charset="0"/>
              <a:cs typeface="Poppins" panose="00000500000000000000" pitchFamily="2" charset="0"/>
            </a:endParaRPr>
          </a:p>
        </xdr:txBody>
      </xdr:sp>
      <xdr:sp macro="" textlink="Analysis!I48">
        <xdr:nvSpPr>
          <xdr:cNvPr id="25" name="TextBox 24">
            <a:extLst>
              <a:ext uri="{FF2B5EF4-FFF2-40B4-BE49-F238E27FC236}">
                <a16:creationId xmlns:a16="http://schemas.microsoft.com/office/drawing/2014/main" id="{00000000-0008-0000-0400-000019000000}"/>
              </a:ext>
            </a:extLst>
          </xdr:cNvPr>
          <xdr:cNvSpPr txBox="1"/>
        </xdr:nvSpPr>
        <xdr:spPr>
          <a:xfrm>
            <a:off x="5676900" y="1466850"/>
            <a:ext cx="914400" cy="4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0BA6353-EC00-4F59-BC1F-8419D776D347}" type="TxLink">
              <a:rPr lang="en-US" sz="1800" b="1" i="0" u="none" strike="noStrike">
                <a:solidFill>
                  <a:schemeClr val="accent3"/>
                </a:solidFill>
                <a:latin typeface="Poppins" panose="00000500000000000000" pitchFamily="2" charset="0"/>
                <a:cs typeface="Poppins" panose="00000500000000000000" pitchFamily="2" charset="0"/>
              </a:rPr>
              <a:pPr/>
              <a:t>7.88%</a:t>
            </a:fld>
            <a:endParaRPr lang="en-US" sz="1800">
              <a:solidFill>
                <a:schemeClr val="accent3"/>
              </a:solidFill>
              <a:latin typeface="Poppins" panose="00000500000000000000" pitchFamily="2" charset="0"/>
              <a:cs typeface="Poppins" panose="00000500000000000000" pitchFamily="2" charset="0"/>
            </a:endParaRPr>
          </a:p>
        </xdr:txBody>
      </xdr:sp>
      <xdr:sp macro="" textlink="Analysis!I49">
        <xdr:nvSpPr>
          <xdr:cNvPr id="26" name="TextBox 25">
            <a:extLst>
              <a:ext uri="{FF2B5EF4-FFF2-40B4-BE49-F238E27FC236}">
                <a16:creationId xmlns:a16="http://schemas.microsoft.com/office/drawing/2014/main" id="{00000000-0008-0000-0400-00001A000000}"/>
              </a:ext>
            </a:extLst>
          </xdr:cNvPr>
          <xdr:cNvSpPr txBox="1"/>
        </xdr:nvSpPr>
        <xdr:spPr>
          <a:xfrm>
            <a:off x="9201150" y="1466850"/>
            <a:ext cx="904875" cy="4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27891D4-5B22-4C4F-8533-1FB80412D4EC}" type="TxLink">
              <a:rPr lang="en-US" sz="1800" b="1" i="0" u="none" strike="noStrike">
                <a:solidFill>
                  <a:srgbClr val="C00000"/>
                </a:solidFill>
                <a:latin typeface="Poppins" panose="00000500000000000000" pitchFamily="2" charset="0"/>
                <a:cs typeface="Poppins" panose="00000500000000000000" pitchFamily="2" charset="0"/>
              </a:rPr>
              <a:pPr/>
              <a:t>6.55%</a:t>
            </a:fld>
            <a:endParaRPr lang="en-US" sz="1800">
              <a:solidFill>
                <a:srgbClr val="C00000"/>
              </a:solidFill>
              <a:latin typeface="Poppins" panose="00000500000000000000" pitchFamily="2" charset="0"/>
              <a:cs typeface="Poppins" panose="00000500000000000000" pitchFamily="2" charset="0"/>
            </a:endParaRPr>
          </a:p>
        </xdr:txBody>
      </xdr:sp>
      <xdr:sp macro="" textlink="Analysis!H48">
        <xdr:nvSpPr>
          <xdr:cNvPr id="27" name="TextBox 26">
            <a:extLst>
              <a:ext uri="{FF2B5EF4-FFF2-40B4-BE49-F238E27FC236}">
                <a16:creationId xmlns:a16="http://schemas.microsoft.com/office/drawing/2014/main" id="{00000000-0008-0000-0400-00001B000000}"/>
              </a:ext>
            </a:extLst>
          </xdr:cNvPr>
          <xdr:cNvSpPr txBox="1"/>
        </xdr:nvSpPr>
        <xdr:spPr>
          <a:xfrm>
            <a:off x="5486400" y="1114425"/>
            <a:ext cx="234315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A230A7A-265E-4EC6-A45A-DD93F2AC405F}" type="TxLink">
              <a:rPr lang="en-US" sz="2400" b="1" i="0" u="none" strike="noStrike">
                <a:solidFill>
                  <a:schemeClr val="accent3"/>
                </a:solidFill>
                <a:latin typeface="Poppins" panose="00000500000000000000" pitchFamily="2" charset="0"/>
                <a:cs typeface="Poppins" panose="00000500000000000000" pitchFamily="2" charset="0"/>
              </a:rPr>
              <a:pPr/>
              <a:t>June</a:t>
            </a:fld>
            <a:endParaRPr lang="en-US" sz="2400">
              <a:solidFill>
                <a:schemeClr val="accent3"/>
              </a:solidFill>
              <a:latin typeface="Poppins" panose="00000500000000000000" pitchFamily="2" charset="0"/>
              <a:cs typeface="Poppins" panose="00000500000000000000" pitchFamily="2" charset="0"/>
            </a:endParaRPr>
          </a:p>
        </xdr:txBody>
      </xdr:sp>
      <xdr:sp macro="" textlink="Analysis!H49">
        <xdr:nvSpPr>
          <xdr:cNvPr id="28" name="TextBox 27">
            <a:extLst>
              <a:ext uri="{FF2B5EF4-FFF2-40B4-BE49-F238E27FC236}">
                <a16:creationId xmlns:a16="http://schemas.microsoft.com/office/drawing/2014/main" id="{00000000-0008-0000-0400-00001C000000}"/>
              </a:ext>
            </a:extLst>
          </xdr:cNvPr>
          <xdr:cNvSpPr txBox="1"/>
        </xdr:nvSpPr>
        <xdr:spPr>
          <a:xfrm>
            <a:off x="9010650" y="1095375"/>
            <a:ext cx="234315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73A74C-0A19-4489-9169-AAB29AB0326E}" type="TxLink">
              <a:rPr lang="en-US" sz="2400" b="1" i="0" u="none" strike="noStrike">
                <a:solidFill>
                  <a:srgbClr val="C00000"/>
                </a:solidFill>
                <a:latin typeface="Poppins" panose="00000500000000000000" pitchFamily="2" charset="0"/>
                <a:cs typeface="Poppins" panose="00000500000000000000" pitchFamily="2" charset="0"/>
              </a:rPr>
              <a:pPr/>
              <a:t>December</a:t>
            </a:fld>
            <a:endParaRPr lang="en-US" sz="2400">
              <a:solidFill>
                <a:srgbClr val="C00000"/>
              </a:solidFill>
              <a:latin typeface="Poppins" panose="00000500000000000000" pitchFamily="2" charset="0"/>
              <a:cs typeface="Poppins" panose="00000500000000000000" pitchFamily="2" charset="0"/>
            </a:endParaRPr>
          </a:p>
        </xdr:txBody>
      </xdr:sp>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7219950" y="2962275"/>
          <a:ext cx="4734000" cy="34776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3956</xdr:colOff>
      <xdr:row>34</xdr:row>
      <xdr:rowOff>190200</xdr:rowOff>
    </xdr:to>
    <xdr:grpSp>
      <xdr:nvGrpSpPr>
        <xdr:cNvPr id="64" name="Group 63">
          <a:extLst>
            <a:ext uri="{FF2B5EF4-FFF2-40B4-BE49-F238E27FC236}">
              <a16:creationId xmlns:a16="http://schemas.microsoft.com/office/drawing/2014/main" id="{00000000-0008-0000-0500-000040000000}"/>
            </a:ext>
          </a:extLst>
        </xdr:cNvPr>
        <xdr:cNvGrpSpPr/>
      </xdr:nvGrpSpPr>
      <xdr:grpSpPr>
        <a:xfrm>
          <a:off x="0" y="0"/>
          <a:ext cx="12195956" cy="6667200"/>
          <a:chOff x="0" y="0"/>
          <a:chExt cx="12195956" cy="6667200"/>
        </a:xfrm>
      </xdr:grpSpPr>
      <xdr:grpSp>
        <xdr:nvGrpSpPr>
          <xdr:cNvPr id="45" name="Group 44">
            <a:extLst>
              <a:ext uri="{FF2B5EF4-FFF2-40B4-BE49-F238E27FC236}">
                <a16:creationId xmlns:a16="http://schemas.microsoft.com/office/drawing/2014/main" id="{00000000-0008-0000-0500-00002D000000}"/>
              </a:ext>
            </a:extLst>
          </xdr:cNvPr>
          <xdr:cNvGrpSpPr/>
        </xdr:nvGrpSpPr>
        <xdr:grpSpPr>
          <a:xfrm>
            <a:off x="0" y="0"/>
            <a:ext cx="12195956" cy="6667200"/>
            <a:chOff x="-3956" y="0"/>
            <a:chExt cx="12195956" cy="6858000"/>
          </a:xfrm>
        </xdr:grpSpPr>
        <xdr:sp macro="" textlink="">
          <xdr:nvSpPr>
            <xdr:cNvPr id="46" name="Rectangle: Rounded Corners 45">
              <a:extLst>
                <a:ext uri="{FF2B5EF4-FFF2-40B4-BE49-F238E27FC236}">
                  <a16:creationId xmlns:a16="http://schemas.microsoft.com/office/drawing/2014/main" id="{00000000-0008-0000-0500-00002E000000}"/>
                </a:ext>
              </a:extLst>
            </xdr:cNvPr>
            <xdr:cNvSpPr/>
          </xdr:nvSpPr>
          <xdr:spPr>
            <a:xfrm>
              <a:off x="-3956" y="0"/>
              <a:ext cx="12195956" cy="6858000"/>
            </a:xfrm>
            <a:prstGeom prst="roundRect">
              <a:avLst>
                <a:gd name="adj" fmla="val 2023"/>
              </a:avLst>
            </a:prstGeom>
            <a:solidFill>
              <a:schemeClr val="bg2">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Rectangle: Rounded Corners 46">
              <a:extLst>
                <a:ext uri="{FF2B5EF4-FFF2-40B4-BE49-F238E27FC236}">
                  <a16:creationId xmlns:a16="http://schemas.microsoft.com/office/drawing/2014/main" id="{00000000-0008-0000-0500-00002F000000}"/>
                </a:ext>
              </a:extLst>
            </xdr:cNvPr>
            <xdr:cNvSpPr/>
          </xdr:nvSpPr>
          <xdr:spPr>
            <a:xfrm>
              <a:off x="72000" y="72000"/>
              <a:ext cx="1514718"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Rectangle: Rounded Corners 47">
              <a:extLst>
                <a:ext uri="{FF2B5EF4-FFF2-40B4-BE49-F238E27FC236}">
                  <a16:creationId xmlns:a16="http://schemas.microsoft.com/office/drawing/2014/main" id="{00000000-0008-0000-0500-000030000000}"/>
                </a:ext>
              </a:extLst>
            </xdr:cNvPr>
            <xdr:cNvSpPr/>
          </xdr:nvSpPr>
          <xdr:spPr>
            <a:xfrm>
              <a:off x="1737945" y="72000"/>
              <a:ext cx="10382054" cy="6996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800" b="1">
                  <a:solidFill>
                    <a:sysClr val="windowText" lastClr="000000"/>
                  </a:solidFill>
                  <a:latin typeface="Poppins" panose="00000500000000000000" pitchFamily="2" charset="0"/>
                  <a:cs typeface="Poppins" panose="00000500000000000000" pitchFamily="2" charset="0"/>
                </a:rPr>
                <a:t>TOP</a:t>
              </a:r>
              <a:r>
                <a:rPr lang="en-US" sz="1800" b="1" baseline="0">
                  <a:solidFill>
                    <a:sysClr val="windowText" lastClr="000000"/>
                  </a:solidFill>
                  <a:latin typeface="Poppins" panose="00000500000000000000" pitchFamily="2" charset="0"/>
                  <a:cs typeface="Poppins" panose="00000500000000000000" pitchFamily="2" charset="0"/>
                </a:rPr>
                <a:t> PERFORMERS DASHBOARD</a:t>
              </a:r>
              <a:endParaRPr lang="en-US" sz="1800" b="1">
                <a:solidFill>
                  <a:sysClr val="windowText" lastClr="000000"/>
                </a:solidFill>
                <a:latin typeface="Poppins" panose="00000500000000000000" pitchFamily="2" charset="0"/>
                <a:cs typeface="Poppins" panose="00000500000000000000" pitchFamily="2" charset="0"/>
              </a:endParaRPr>
            </a:p>
          </xdr:txBody>
        </xdr:sp>
        <xdr:sp macro="" textlink="">
          <xdr:nvSpPr>
            <xdr:cNvPr id="49" name="Rectangle: Rounded Corners 48">
              <a:extLst>
                <a:ext uri="{FF2B5EF4-FFF2-40B4-BE49-F238E27FC236}">
                  <a16:creationId xmlns:a16="http://schemas.microsoft.com/office/drawing/2014/main" id="{00000000-0008-0000-0500-000031000000}"/>
                </a:ext>
              </a:extLst>
            </xdr:cNvPr>
            <xdr:cNvSpPr/>
          </xdr:nvSpPr>
          <xdr:spPr>
            <a:xfrm>
              <a:off x="72000" y="843525"/>
              <a:ext cx="1514718" cy="5942475"/>
            </a:xfrm>
            <a:prstGeom prst="roundRect">
              <a:avLst>
                <a:gd name="adj" fmla="val 66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Rectangle: Rounded Corners 49">
              <a:extLst>
                <a:ext uri="{FF2B5EF4-FFF2-40B4-BE49-F238E27FC236}">
                  <a16:creationId xmlns:a16="http://schemas.microsoft.com/office/drawing/2014/main" id="{00000000-0008-0000-0500-000032000000}"/>
                </a:ext>
              </a:extLst>
            </xdr:cNvPr>
            <xdr:cNvSpPr/>
          </xdr:nvSpPr>
          <xdr:spPr>
            <a:xfrm>
              <a:off x="1737945" y="843525"/>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000" b="1">
                  <a:solidFill>
                    <a:sysClr val="windowText" lastClr="000000"/>
                  </a:solidFill>
                  <a:latin typeface="Poppins" panose="00000500000000000000" pitchFamily="2" charset="0"/>
                  <a:cs typeface="Poppins" panose="00000500000000000000" pitchFamily="2" charset="0"/>
                </a:rPr>
                <a:t>TOTAL</a:t>
              </a:r>
              <a:r>
                <a:rPr lang="en-US" sz="1000" b="1" baseline="0">
                  <a:solidFill>
                    <a:sysClr val="windowText" lastClr="000000"/>
                  </a:solidFill>
                  <a:latin typeface="Poppins" panose="00000500000000000000" pitchFamily="2" charset="0"/>
                  <a:cs typeface="Poppins" panose="00000500000000000000" pitchFamily="2" charset="0"/>
                </a:rPr>
                <a:t> POSTS</a:t>
              </a:r>
              <a:endParaRPr lang="en-US" sz="1000" b="1">
                <a:solidFill>
                  <a:sysClr val="windowText" lastClr="000000"/>
                </a:solidFill>
                <a:latin typeface="Poppins" panose="00000500000000000000" pitchFamily="2" charset="0"/>
                <a:cs typeface="Poppins" panose="00000500000000000000" pitchFamily="2" charset="0"/>
              </a:endParaRPr>
            </a:p>
          </xdr:txBody>
        </xdr:sp>
        <xdr:sp macro="" textlink="">
          <xdr:nvSpPr>
            <xdr:cNvPr id="51" name="Rectangle: Rounded Corners 50">
              <a:extLst>
                <a:ext uri="{FF2B5EF4-FFF2-40B4-BE49-F238E27FC236}">
                  <a16:creationId xmlns:a16="http://schemas.microsoft.com/office/drawing/2014/main" id="{00000000-0008-0000-0500-000033000000}"/>
                </a:ext>
              </a:extLst>
            </xdr:cNvPr>
            <xdr:cNvSpPr/>
          </xdr:nvSpPr>
          <xdr:spPr>
            <a:xfrm>
              <a:off x="1752103" y="2081637"/>
              <a:ext cx="6112077" cy="2290338"/>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TOP 10</a:t>
              </a:r>
              <a:r>
                <a:rPr lang="en-US" sz="1200" b="1" baseline="0">
                  <a:solidFill>
                    <a:sysClr val="windowText" lastClr="000000"/>
                  </a:solidFill>
                  <a:latin typeface="Poppins" panose="00000500000000000000" pitchFamily="2" charset="0"/>
                  <a:cs typeface="Poppins" panose="00000500000000000000" pitchFamily="2" charset="0"/>
                </a:rPr>
                <a:t> PERFORMERS BY ENGAGEMENT RATE</a:t>
              </a:r>
              <a:endParaRPr lang="en-US" sz="1200" b="1">
                <a:solidFill>
                  <a:sysClr val="windowText" lastClr="000000"/>
                </a:solidFill>
                <a:latin typeface="Poppins" panose="00000500000000000000" pitchFamily="2" charset="0"/>
                <a:cs typeface="Poppins" panose="00000500000000000000" pitchFamily="2" charset="0"/>
              </a:endParaRPr>
            </a:p>
          </xdr:txBody>
        </xdr:sp>
        <xdr:sp macro="" textlink="">
          <xdr:nvSpPr>
            <xdr:cNvPr id="52" name="Rectangle: Rounded Corners 51">
              <a:extLst>
                <a:ext uri="{FF2B5EF4-FFF2-40B4-BE49-F238E27FC236}">
                  <a16:creationId xmlns:a16="http://schemas.microsoft.com/office/drawing/2014/main" id="{00000000-0008-0000-0500-000034000000}"/>
                </a:ext>
              </a:extLst>
            </xdr:cNvPr>
            <xdr:cNvSpPr/>
          </xdr:nvSpPr>
          <xdr:spPr>
            <a:xfrm>
              <a:off x="1752103" y="4495662"/>
              <a:ext cx="6112078" cy="2290338"/>
            </a:xfrm>
            <a:prstGeom prst="roundRect">
              <a:avLst>
                <a:gd name="adj" fmla="val 77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BOTTOM 10 PERFORMERS BY ENGAGEMENT</a:t>
              </a:r>
              <a:r>
                <a:rPr lang="en-US" sz="1200" b="1" baseline="0">
                  <a:solidFill>
                    <a:sysClr val="windowText" lastClr="000000"/>
                  </a:solidFill>
                  <a:latin typeface="Poppins" panose="00000500000000000000" pitchFamily="2" charset="0"/>
                  <a:cs typeface="Poppins" panose="00000500000000000000" pitchFamily="2" charset="0"/>
                </a:rPr>
                <a:t> RATE</a:t>
              </a:r>
              <a:endParaRPr lang="en-US" sz="1200" b="1">
                <a:solidFill>
                  <a:sysClr val="windowText" lastClr="000000"/>
                </a:solidFill>
                <a:latin typeface="Poppins" panose="00000500000000000000" pitchFamily="2" charset="0"/>
                <a:cs typeface="Poppins" panose="00000500000000000000" pitchFamily="2" charset="0"/>
              </a:endParaRPr>
            </a:p>
          </xdr:txBody>
        </xdr:sp>
        <xdr:sp macro="" textlink="">
          <xdr:nvSpPr>
            <xdr:cNvPr id="53" name="Rectangle: Rounded Corners 52">
              <a:extLst>
                <a:ext uri="{FF2B5EF4-FFF2-40B4-BE49-F238E27FC236}">
                  <a16:creationId xmlns:a16="http://schemas.microsoft.com/office/drawing/2014/main" id="{00000000-0008-0000-0500-000035000000}"/>
                </a:ext>
              </a:extLst>
            </xdr:cNvPr>
            <xdr:cNvSpPr/>
          </xdr:nvSpPr>
          <xdr:spPr>
            <a:xfrm>
              <a:off x="8029565" y="853544"/>
              <a:ext cx="4090430" cy="2862929"/>
            </a:xfrm>
            <a:prstGeom prst="roundRect">
              <a:avLst>
                <a:gd name="adj" fmla="val 64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SHARES</a:t>
              </a:r>
              <a:r>
                <a:rPr lang="en-US" sz="1200" b="1" baseline="0">
                  <a:solidFill>
                    <a:sysClr val="windowText" lastClr="000000"/>
                  </a:solidFill>
                  <a:latin typeface="Poppins" panose="00000500000000000000" pitchFamily="2" charset="0"/>
                  <a:cs typeface="Poppins" panose="00000500000000000000" pitchFamily="2" charset="0"/>
                </a:rPr>
                <a:t> VS. ENGAGEMENT RATE SCATTER</a:t>
              </a:r>
              <a:endParaRPr lang="en-US" sz="1200" b="1">
                <a:solidFill>
                  <a:sysClr val="windowText" lastClr="000000"/>
                </a:solidFill>
                <a:latin typeface="Poppins" panose="00000500000000000000" pitchFamily="2" charset="0"/>
                <a:cs typeface="Poppins" panose="00000500000000000000" pitchFamily="2" charset="0"/>
              </a:endParaRPr>
            </a:p>
          </xdr:txBody>
        </xdr:sp>
        <xdr:sp macro="" textlink="">
          <xdr:nvSpPr>
            <xdr:cNvPr id="54" name="Rectangle: Rounded Corners 53">
              <a:extLst>
                <a:ext uri="{FF2B5EF4-FFF2-40B4-BE49-F238E27FC236}">
                  <a16:creationId xmlns:a16="http://schemas.microsoft.com/office/drawing/2014/main" id="{00000000-0008-0000-0500-000036000000}"/>
                </a:ext>
              </a:extLst>
            </xdr:cNvPr>
            <xdr:cNvSpPr/>
          </xdr:nvSpPr>
          <xdr:spPr>
            <a:xfrm>
              <a:off x="5897828" y="843525"/>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000" b="1">
                  <a:solidFill>
                    <a:sysClr val="windowText" lastClr="000000"/>
                  </a:solidFill>
                  <a:latin typeface="Poppins" panose="00000500000000000000" pitchFamily="2" charset="0"/>
                  <a:cs typeface="Poppins" panose="00000500000000000000" pitchFamily="2" charset="0"/>
                </a:rPr>
                <a:t>TOP</a:t>
              </a:r>
              <a:r>
                <a:rPr lang="en-US" sz="1000" b="1" baseline="0">
                  <a:solidFill>
                    <a:sysClr val="windowText" lastClr="000000"/>
                  </a:solidFill>
                  <a:latin typeface="Poppins" panose="00000500000000000000" pitchFamily="2" charset="0"/>
                  <a:cs typeface="Poppins" panose="00000500000000000000" pitchFamily="2" charset="0"/>
                </a:rPr>
                <a:t> POST CONTENT TYPE</a:t>
              </a:r>
              <a:endParaRPr lang="en-US" sz="1000" b="1">
                <a:solidFill>
                  <a:sysClr val="windowText" lastClr="000000"/>
                </a:solidFill>
                <a:latin typeface="Poppins" panose="00000500000000000000" pitchFamily="2" charset="0"/>
                <a:cs typeface="Poppins" panose="00000500000000000000" pitchFamily="2" charset="0"/>
              </a:endParaRPr>
            </a:p>
          </xdr:txBody>
        </xdr:sp>
        <xdr:sp macro="" textlink="">
          <xdr:nvSpPr>
            <xdr:cNvPr id="55" name="Rectangle: Rounded Corners 54">
              <a:extLst>
                <a:ext uri="{FF2B5EF4-FFF2-40B4-BE49-F238E27FC236}">
                  <a16:creationId xmlns:a16="http://schemas.microsoft.com/office/drawing/2014/main" id="{00000000-0008-0000-0500-000037000000}"/>
                </a:ext>
              </a:extLst>
            </xdr:cNvPr>
            <xdr:cNvSpPr/>
          </xdr:nvSpPr>
          <xdr:spPr>
            <a:xfrm>
              <a:off x="3817886" y="853544"/>
              <a:ext cx="1966352" cy="116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000" b="1">
                  <a:solidFill>
                    <a:sysClr val="windowText" lastClr="000000"/>
                  </a:solidFill>
                  <a:latin typeface="Poppins" panose="00000500000000000000" pitchFamily="2" charset="0"/>
                  <a:cs typeface="Poppins" panose="00000500000000000000" pitchFamily="2" charset="0"/>
                </a:rPr>
                <a:t>TOP</a:t>
              </a:r>
              <a:r>
                <a:rPr lang="en-US" sz="1000" b="1" baseline="0">
                  <a:solidFill>
                    <a:sysClr val="windowText" lastClr="000000"/>
                  </a:solidFill>
                  <a:latin typeface="Poppins" panose="00000500000000000000" pitchFamily="2" charset="0"/>
                  <a:cs typeface="Poppins" panose="00000500000000000000" pitchFamily="2" charset="0"/>
                </a:rPr>
                <a:t> POST PLATFORM</a:t>
              </a:r>
              <a:endParaRPr lang="en-US" sz="1000" b="1">
                <a:solidFill>
                  <a:sysClr val="windowText" lastClr="000000"/>
                </a:solidFill>
                <a:latin typeface="Poppins" panose="00000500000000000000" pitchFamily="2" charset="0"/>
                <a:cs typeface="Poppins" panose="00000500000000000000" pitchFamily="2" charset="0"/>
              </a:endParaRPr>
            </a:p>
          </xdr:txBody>
        </xdr:sp>
        <xdr:sp macro="" textlink="">
          <xdr:nvSpPr>
            <xdr:cNvPr id="56" name="Rectangle: Rounded Corners 55">
              <a:extLst>
                <a:ext uri="{FF2B5EF4-FFF2-40B4-BE49-F238E27FC236}">
                  <a16:creationId xmlns:a16="http://schemas.microsoft.com/office/drawing/2014/main" id="{00000000-0008-0000-0500-000038000000}"/>
                </a:ext>
              </a:extLst>
            </xdr:cNvPr>
            <xdr:cNvSpPr/>
          </xdr:nvSpPr>
          <xdr:spPr>
            <a:xfrm>
              <a:off x="8029565" y="3923071"/>
              <a:ext cx="4090430" cy="2862929"/>
            </a:xfrm>
            <a:prstGeom prst="roundRect">
              <a:avLst>
                <a:gd name="adj" fmla="val 64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l"/>
              <a:r>
                <a:rPr lang="en-US" sz="1200" b="1">
                  <a:solidFill>
                    <a:sysClr val="windowText" lastClr="000000"/>
                  </a:solidFill>
                  <a:latin typeface="Poppins" panose="00000500000000000000" pitchFamily="2" charset="0"/>
                  <a:cs typeface="Poppins" panose="00000500000000000000" pitchFamily="2" charset="0"/>
                </a:rPr>
                <a:t>IMPRESSIONS VS. REACH SCATTER</a:t>
              </a:r>
            </a:p>
          </xdr:txBody>
        </xdr:sp>
      </xdr:grpSp>
      <xdr:sp macro="" textlink="Analysis!H2">
        <xdr:nvSpPr>
          <xdr:cNvPr id="37" name="TextBox 36">
            <a:extLst>
              <a:ext uri="{FF2B5EF4-FFF2-40B4-BE49-F238E27FC236}">
                <a16:creationId xmlns:a16="http://schemas.microsoft.com/office/drawing/2014/main" id="{00000000-0008-0000-0500-000025000000}"/>
              </a:ext>
            </a:extLst>
          </xdr:cNvPr>
          <xdr:cNvSpPr txBox="1"/>
        </xdr:nvSpPr>
        <xdr:spPr>
          <a:xfrm>
            <a:off x="1847850" y="1390650"/>
            <a:ext cx="902491"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419E1B3-23B6-4494-9619-A0AB17B9E86A}" type="TxLink">
              <a:rPr lang="en-US" sz="2400" b="1" i="0" u="none" strike="noStrike">
                <a:solidFill>
                  <a:srgbClr val="000000"/>
                </a:solidFill>
                <a:latin typeface="Poppins" panose="00000500000000000000" pitchFamily="2" charset="0"/>
                <a:cs typeface="Poppins" panose="00000500000000000000" pitchFamily="2" charset="0"/>
              </a:rPr>
              <a:pPr algn="ctr"/>
              <a:t>1000</a:t>
            </a:fld>
            <a:endParaRPr lang="en-US" sz="2400" b="1">
              <a:solidFill>
                <a:schemeClr val="tx1"/>
              </a:solidFill>
              <a:latin typeface="Poppins" panose="00000500000000000000" pitchFamily="2" charset="0"/>
              <a:cs typeface="Poppins" panose="00000500000000000000" pitchFamily="2" charset="0"/>
            </a:endParaRPr>
          </a:p>
        </xdr:txBody>
      </xdr:sp>
      <xdr:pic>
        <xdr:nvPicPr>
          <xdr:cNvPr id="38" name="Graphic 37" descr="Speech with solid fill">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10939" y="1400175"/>
            <a:ext cx="540000" cy="540000"/>
          </a:xfrm>
          <a:prstGeom prst="rect">
            <a:avLst/>
          </a:prstGeom>
        </xdr:spPr>
      </xdr:pic>
      <xdr:sp macro="" textlink="Analysis!G114">
        <xdr:nvSpPr>
          <xdr:cNvPr id="39" name="TextBox 38">
            <a:extLst>
              <a:ext uri="{FF2B5EF4-FFF2-40B4-BE49-F238E27FC236}">
                <a16:creationId xmlns:a16="http://schemas.microsoft.com/office/drawing/2014/main" id="{00000000-0008-0000-0500-000027000000}"/>
              </a:ext>
            </a:extLst>
          </xdr:cNvPr>
          <xdr:cNvSpPr txBox="1"/>
        </xdr:nvSpPr>
        <xdr:spPr>
          <a:xfrm>
            <a:off x="3876674" y="1400175"/>
            <a:ext cx="1857376"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0931C72E-C2C6-4DEE-8DBB-077237455EB8}" type="TxLink">
              <a:rPr lang="en-US" sz="2400" b="1" i="0" u="none" strike="noStrike">
                <a:solidFill>
                  <a:srgbClr val="000000"/>
                </a:solidFill>
                <a:latin typeface="Poppins" panose="00000500000000000000" pitchFamily="2" charset="0"/>
                <a:ea typeface="+mn-ea"/>
                <a:cs typeface="Poppins" panose="00000500000000000000" pitchFamily="2" charset="0"/>
              </a:rPr>
              <a:pPr marL="0" indent="0" algn="l"/>
              <a:t>TikTok</a:t>
            </a:fld>
            <a:endParaRPr lang="en-US" sz="2400" b="1" i="0" u="none" strike="noStrike">
              <a:solidFill>
                <a:srgbClr val="000000"/>
              </a:solidFill>
              <a:latin typeface="Poppins" panose="00000500000000000000" pitchFamily="2" charset="0"/>
              <a:ea typeface="+mn-ea"/>
              <a:cs typeface="Poppins" panose="00000500000000000000" pitchFamily="2" charset="0"/>
            </a:endParaRPr>
          </a:p>
        </xdr:txBody>
      </xdr:sp>
      <xdr:sp macro="" textlink="Analysis!G126">
        <xdr:nvSpPr>
          <xdr:cNvPr id="40" name="TextBox 39">
            <a:extLst>
              <a:ext uri="{FF2B5EF4-FFF2-40B4-BE49-F238E27FC236}">
                <a16:creationId xmlns:a16="http://schemas.microsoft.com/office/drawing/2014/main" id="{00000000-0008-0000-0500-000028000000}"/>
              </a:ext>
            </a:extLst>
          </xdr:cNvPr>
          <xdr:cNvSpPr txBox="1"/>
        </xdr:nvSpPr>
        <xdr:spPr>
          <a:xfrm>
            <a:off x="5991224" y="1390650"/>
            <a:ext cx="1724025"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BA45DE08-1AD4-421A-9445-33A7E3C4D81B}" type="TxLink">
              <a:rPr lang="en-US" sz="2400" b="1" i="0" u="none" strike="noStrike">
                <a:solidFill>
                  <a:srgbClr val="000000"/>
                </a:solidFill>
                <a:latin typeface="Poppins" panose="00000500000000000000" pitchFamily="2" charset="0"/>
                <a:ea typeface="+mn-ea"/>
                <a:cs typeface="Poppins" panose="00000500000000000000" pitchFamily="2" charset="0"/>
              </a:rPr>
              <a:pPr marL="0" indent="0" algn="l"/>
              <a:t>Reel</a:t>
            </a:fld>
            <a:endParaRPr lang="en-US" sz="2400" b="1" i="0" u="none" strike="noStrike">
              <a:solidFill>
                <a:srgbClr val="000000"/>
              </a:solidFill>
              <a:latin typeface="Poppins" panose="00000500000000000000" pitchFamily="2" charset="0"/>
              <a:ea typeface="+mn-ea"/>
              <a:cs typeface="Poppins" panose="00000500000000000000" pitchFamily="2" charset="0"/>
            </a:endParaRPr>
          </a:p>
        </xdr:txBody>
      </xdr:sp>
      <xdr:graphicFrame macro="">
        <xdr:nvGraphicFramePr>
          <xdr:cNvPr id="43" name="Chart 42">
            <a:extLst>
              <a:ext uri="{FF2B5EF4-FFF2-40B4-BE49-F238E27FC236}">
                <a16:creationId xmlns:a16="http://schemas.microsoft.com/office/drawing/2014/main" id="{00000000-0008-0000-0500-00002B000000}"/>
              </a:ext>
            </a:extLst>
          </xdr:cNvPr>
          <xdr:cNvGraphicFramePr>
            <a:graphicFrameLocks/>
          </xdr:cNvGraphicFramePr>
        </xdr:nvGraphicFramePr>
        <xdr:xfrm>
          <a:off x="1752600" y="2352675"/>
          <a:ext cx="6105525" cy="18859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4" name="Chart 43">
            <a:extLst>
              <a:ext uri="{FF2B5EF4-FFF2-40B4-BE49-F238E27FC236}">
                <a16:creationId xmlns:a16="http://schemas.microsoft.com/office/drawing/2014/main" id="{00000000-0008-0000-0500-00002C000000}"/>
              </a:ext>
            </a:extLst>
          </xdr:cNvPr>
          <xdr:cNvGraphicFramePr>
            <a:graphicFrameLocks/>
          </xdr:cNvGraphicFramePr>
        </xdr:nvGraphicFramePr>
        <xdr:xfrm>
          <a:off x="1752600" y="4705350"/>
          <a:ext cx="6105600" cy="1886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7" name="Chart 56">
            <a:extLst>
              <a:ext uri="{FF2B5EF4-FFF2-40B4-BE49-F238E27FC236}">
                <a16:creationId xmlns:a16="http://schemas.microsoft.com/office/drawing/2014/main" id="{00000000-0008-0000-0500-000039000000}"/>
              </a:ext>
            </a:extLst>
          </xdr:cNvPr>
          <xdr:cNvGraphicFramePr>
            <a:graphicFrameLocks/>
          </xdr:cNvGraphicFramePr>
        </xdr:nvGraphicFramePr>
        <xdr:xfrm>
          <a:off x="8105775" y="1171574"/>
          <a:ext cx="3924300" cy="2424113"/>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58" name="Platform 2">
                <a:extLst>
                  <a:ext uri="{FF2B5EF4-FFF2-40B4-BE49-F238E27FC236}">
                    <a16:creationId xmlns:a16="http://schemas.microsoft.com/office/drawing/2014/main" id="{00000000-0008-0000-0500-00003A000000}"/>
                  </a:ext>
                </a:extLst>
              </xdr:cNvPr>
              <xdr:cNvGraphicFramePr/>
            </xdr:nvGraphicFramePr>
            <xdr:xfrm>
              <a:off x="152399" y="1833708"/>
              <a:ext cx="1363050" cy="1819275"/>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152399" y="1833708"/>
                <a:ext cx="136305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Year 2">
                <a:extLst>
                  <a:ext uri="{FF2B5EF4-FFF2-40B4-BE49-F238E27FC236}">
                    <a16:creationId xmlns:a16="http://schemas.microsoft.com/office/drawing/2014/main" id="{00000000-0008-0000-0500-00003B000000}"/>
                  </a:ext>
                </a:extLst>
              </xdr:cNvPr>
              <xdr:cNvGraphicFramePr/>
            </xdr:nvGraphicFramePr>
            <xdr:xfrm>
              <a:off x="152399" y="871682"/>
              <a:ext cx="1364400" cy="981075"/>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52399" y="871682"/>
                <a:ext cx="13644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Content 2">
                <a:extLst>
                  <a:ext uri="{FF2B5EF4-FFF2-40B4-BE49-F238E27FC236}">
                    <a16:creationId xmlns:a16="http://schemas.microsoft.com/office/drawing/2014/main" id="{00000000-0008-0000-0500-00003C000000}"/>
                  </a:ext>
                </a:extLst>
              </xdr:cNvPr>
              <xdr:cNvGraphicFramePr/>
            </xdr:nvGraphicFramePr>
            <xdr:xfrm>
              <a:off x="142875" y="3633933"/>
              <a:ext cx="1364400" cy="1838325"/>
            </xdr:xfrm>
            <a:graphic>
              <a:graphicData uri="http://schemas.microsoft.com/office/drawing/2010/slicer">
                <sle:slicer xmlns:sle="http://schemas.microsoft.com/office/drawing/2010/slicer" name="Content 2"/>
              </a:graphicData>
            </a:graphic>
          </xdr:graphicFrame>
        </mc:Choice>
        <mc:Fallback xmlns="">
          <xdr:sp macro="" textlink="">
            <xdr:nvSpPr>
              <xdr:cNvPr id="0" name=""/>
              <xdr:cNvSpPr>
                <a:spLocks noTextEdit="1"/>
              </xdr:cNvSpPr>
            </xdr:nvSpPr>
            <xdr:spPr>
              <a:xfrm>
                <a:off x="142875" y="3633933"/>
                <a:ext cx="13644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8599" b="92994" l="9938" r="90373">
                        <a14:foregroundMark x1="45031" y1="49682" x2="45031" y2="49682"/>
                        <a14:foregroundMark x1="37578" y1="39809" x2="37578" y2="39809"/>
                        <a14:foregroundMark x1="30745" y1="8917" x2="30745" y2="8917"/>
                        <a14:foregroundMark x1="50000" y1="13376" x2="50000" y2="13376"/>
                        <a14:foregroundMark x1="56522" y1="20064" x2="56522" y2="20064"/>
                        <a14:foregroundMark x1="57143" y1="26115" x2="57143" y2="26115"/>
                        <a14:foregroundMark x1="53727" y1="31529" x2="53727" y2="31529"/>
                        <a14:foregroundMark x1="52484" y1="37580" x2="52484" y2="37580"/>
                        <a14:foregroundMark x1="64286" y1="50318" x2="64286" y2="50318"/>
                        <a14:foregroundMark x1="90373" y1="51911" x2="90373" y2="51911"/>
                        <a14:foregroundMark x1="38509" y1="75159" x2="38509" y2="75159"/>
                        <a14:foregroundMark x1="28261" y1="70064" x2="28261" y2="70064"/>
                        <a14:foregroundMark x1="41615" y1="64331" x2="41615" y2="64331"/>
                        <a14:foregroundMark x1="40062" y1="70064" x2="40062" y2="70064"/>
                        <a14:foregroundMark x1="37267" y1="81210" x2="37267" y2="81210"/>
                        <a14:foregroundMark x1="71118" y1="85669" x2="71118" y2="85669"/>
                        <a14:foregroundMark x1="64596" y1="92994" x2="64596" y2="92994"/>
                      </a14:backgroundRemoval>
                    </a14:imgEffect>
                  </a14:imgLayer>
                </a14:imgProps>
              </a:ext>
            </a:extLst>
          </a:blip>
          <a:stretch>
            <a:fillRect/>
          </a:stretch>
        </xdr:blipFill>
        <xdr:spPr>
          <a:xfrm>
            <a:off x="558374" y="142875"/>
            <a:ext cx="552450" cy="538725"/>
          </a:xfrm>
          <a:prstGeom prst="rect">
            <a:avLst/>
          </a:prstGeom>
        </xdr:spPr>
      </xdr:pic>
      <xdr:graphicFrame macro="">
        <xdr:nvGraphicFramePr>
          <xdr:cNvPr id="63" name="Chart 62">
            <a:extLst>
              <a:ext uri="{FF2B5EF4-FFF2-40B4-BE49-F238E27FC236}">
                <a16:creationId xmlns:a16="http://schemas.microsoft.com/office/drawing/2014/main" id="{00000000-0008-0000-0500-00003F000000}"/>
              </a:ext>
            </a:extLst>
          </xdr:cNvPr>
          <xdr:cNvGraphicFramePr>
            <a:graphicFrameLocks/>
          </xdr:cNvGraphicFramePr>
        </xdr:nvGraphicFramePr>
        <xdr:xfrm>
          <a:off x="8105775" y="4167333"/>
          <a:ext cx="3924000" cy="24228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in Lu" refreshedDate="46245.891641782408" missingItemsLimit="0" createdVersion="8" refreshedVersion="8" minRefreshableVersion="3" recordCount="1000" xr:uid="{091313B9-49BC-4978-B3BD-E1A6A912CB7F}">
  <cacheSource type="worksheet">
    <worksheetSource ref="A1:L1001" sheet="Raw Data"/>
  </cacheSource>
  <cacheFields count="19">
    <cacheField name="Post ID" numFmtId="0">
      <sharedItems count="1000">
        <s v="POST-60001"/>
        <s v="POST-60002"/>
        <s v="POST-60003"/>
        <s v="POST-60004"/>
        <s v="POST-60005"/>
        <s v="POST-60006"/>
        <s v="POST-60007"/>
        <s v="POST-60008"/>
        <s v="POST-60009"/>
        <s v="POST-60010"/>
        <s v="POST-60011"/>
        <s v="POST-60012"/>
        <s v="POST-60013"/>
        <s v="POST-60014"/>
        <s v="POST-60015"/>
        <s v="POST-60016"/>
        <s v="POST-60017"/>
        <s v="POST-60018"/>
        <s v="POST-60019"/>
        <s v="POST-60020"/>
        <s v="POST-60021"/>
        <s v="POST-60022"/>
        <s v="POST-60023"/>
        <s v="POST-60024"/>
        <s v="POST-60025"/>
        <s v="POST-60026"/>
        <s v="POST-60027"/>
        <s v="POST-60028"/>
        <s v="POST-60029"/>
        <s v="POST-60030"/>
        <s v="POST-60031"/>
        <s v="POST-60032"/>
        <s v="POST-60033"/>
        <s v="POST-60034"/>
        <s v="POST-60035"/>
        <s v="POST-60036"/>
        <s v="POST-60037"/>
        <s v="POST-60038"/>
        <s v="POST-60039"/>
        <s v="POST-60040"/>
        <s v="POST-60041"/>
        <s v="POST-60042"/>
        <s v="POST-60043"/>
        <s v="POST-60044"/>
        <s v="POST-60045"/>
        <s v="POST-60046"/>
        <s v="POST-60047"/>
        <s v="POST-60048"/>
        <s v="POST-60049"/>
        <s v="POST-60050"/>
        <s v="POST-60051"/>
        <s v="POST-60052"/>
        <s v="POST-60053"/>
        <s v="POST-60054"/>
        <s v="POST-60055"/>
        <s v="POST-60056"/>
        <s v="POST-60057"/>
        <s v="POST-60058"/>
        <s v="POST-60059"/>
        <s v="POST-60060"/>
        <s v="POST-60061"/>
        <s v="POST-60062"/>
        <s v="POST-60063"/>
        <s v="POST-60064"/>
        <s v="POST-60065"/>
        <s v="POST-60066"/>
        <s v="POST-60067"/>
        <s v="POST-60068"/>
        <s v="POST-60069"/>
        <s v="POST-60070"/>
        <s v="POST-60071"/>
        <s v="POST-60072"/>
        <s v="POST-60073"/>
        <s v="POST-60074"/>
        <s v="POST-60075"/>
        <s v="POST-60076"/>
        <s v="POST-60077"/>
        <s v="POST-60078"/>
        <s v="POST-60079"/>
        <s v="POST-60080"/>
        <s v="POST-60081"/>
        <s v="POST-60082"/>
        <s v="POST-60083"/>
        <s v="POST-60084"/>
        <s v="POST-60085"/>
        <s v="POST-60086"/>
        <s v="POST-60087"/>
        <s v="POST-60088"/>
        <s v="POST-60089"/>
        <s v="POST-60090"/>
        <s v="POST-60091"/>
        <s v="POST-60092"/>
        <s v="POST-60093"/>
        <s v="POST-60094"/>
        <s v="POST-60095"/>
        <s v="POST-60096"/>
        <s v="POST-60097"/>
        <s v="POST-60098"/>
        <s v="POST-60099"/>
        <s v="POST-60100"/>
        <s v="POST-60101"/>
        <s v="POST-60102"/>
        <s v="POST-60103"/>
        <s v="POST-60104"/>
        <s v="POST-60105"/>
        <s v="POST-60106"/>
        <s v="POST-60107"/>
        <s v="POST-60108"/>
        <s v="POST-60109"/>
        <s v="POST-60110"/>
        <s v="POST-60111"/>
        <s v="POST-60112"/>
        <s v="POST-60113"/>
        <s v="POST-60114"/>
        <s v="POST-60115"/>
        <s v="POST-60116"/>
        <s v="POST-60117"/>
        <s v="POST-60118"/>
        <s v="POST-60119"/>
        <s v="POST-60120"/>
        <s v="POST-60121"/>
        <s v="POST-60122"/>
        <s v="POST-60123"/>
        <s v="POST-60124"/>
        <s v="POST-60125"/>
        <s v="POST-60126"/>
        <s v="POST-60127"/>
        <s v="POST-60128"/>
        <s v="POST-60129"/>
        <s v="POST-60130"/>
        <s v="POST-60131"/>
        <s v="POST-60132"/>
        <s v="POST-60133"/>
        <s v="POST-60134"/>
        <s v="POST-60135"/>
        <s v="POST-60136"/>
        <s v="POST-60137"/>
        <s v="POST-60138"/>
        <s v="POST-60139"/>
        <s v="POST-60140"/>
        <s v="POST-60141"/>
        <s v="POST-60142"/>
        <s v="POST-60143"/>
        <s v="POST-60144"/>
        <s v="POST-60145"/>
        <s v="POST-60146"/>
        <s v="POST-60147"/>
        <s v="POST-60148"/>
        <s v="POST-60149"/>
        <s v="POST-60150"/>
        <s v="POST-60151"/>
        <s v="POST-60152"/>
        <s v="POST-60153"/>
        <s v="POST-60154"/>
        <s v="POST-60155"/>
        <s v="POST-60156"/>
        <s v="POST-60157"/>
        <s v="POST-60158"/>
        <s v="POST-60159"/>
        <s v="POST-60160"/>
        <s v="POST-60161"/>
        <s v="POST-60162"/>
        <s v="POST-60163"/>
        <s v="POST-60164"/>
        <s v="POST-60165"/>
        <s v="POST-60166"/>
        <s v="POST-60167"/>
        <s v="POST-60168"/>
        <s v="POST-60169"/>
        <s v="POST-60170"/>
        <s v="POST-60171"/>
        <s v="POST-60172"/>
        <s v="POST-60173"/>
        <s v="POST-60174"/>
        <s v="POST-60175"/>
        <s v="POST-60176"/>
        <s v="POST-60177"/>
        <s v="POST-60178"/>
        <s v="POST-60179"/>
        <s v="POST-60180"/>
        <s v="POST-60181"/>
        <s v="POST-60182"/>
        <s v="POST-60183"/>
        <s v="POST-60184"/>
        <s v="POST-60185"/>
        <s v="POST-60186"/>
        <s v="POST-60187"/>
        <s v="POST-60188"/>
        <s v="POST-60189"/>
        <s v="POST-60190"/>
        <s v="POST-60191"/>
        <s v="POST-60192"/>
        <s v="POST-60193"/>
        <s v="POST-60194"/>
        <s v="POST-60195"/>
        <s v="POST-60196"/>
        <s v="POST-60197"/>
        <s v="POST-60198"/>
        <s v="POST-60199"/>
        <s v="POST-60200"/>
        <s v="POST-60201"/>
        <s v="POST-60202"/>
        <s v="POST-60203"/>
        <s v="POST-60204"/>
        <s v="POST-60205"/>
        <s v="POST-60206"/>
        <s v="POST-60207"/>
        <s v="POST-60208"/>
        <s v="POST-60209"/>
        <s v="POST-60210"/>
        <s v="POST-60211"/>
        <s v="POST-60212"/>
        <s v="POST-60213"/>
        <s v="POST-60214"/>
        <s v="POST-60215"/>
        <s v="POST-60216"/>
        <s v="POST-60217"/>
        <s v="POST-60218"/>
        <s v="POST-60219"/>
        <s v="POST-60220"/>
        <s v="POST-60221"/>
        <s v="POST-60222"/>
        <s v="POST-60223"/>
        <s v="POST-60224"/>
        <s v="POST-60225"/>
        <s v="POST-60226"/>
        <s v="POST-60227"/>
        <s v="POST-60228"/>
        <s v="POST-60229"/>
        <s v="POST-60230"/>
        <s v="POST-60231"/>
        <s v="POST-60232"/>
        <s v="POST-60233"/>
        <s v="POST-60234"/>
        <s v="POST-60235"/>
        <s v="POST-60236"/>
        <s v="POST-60237"/>
        <s v="POST-60238"/>
        <s v="POST-60239"/>
        <s v="POST-60240"/>
        <s v="POST-60241"/>
        <s v="POST-60242"/>
        <s v="POST-60243"/>
        <s v="POST-60244"/>
        <s v="POST-60245"/>
        <s v="POST-60246"/>
        <s v="POST-60247"/>
        <s v="POST-60248"/>
        <s v="POST-60249"/>
        <s v="POST-60250"/>
        <s v="POST-60251"/>
        <s v="POST-60252"/>
        <s v="POST-60253"/>
        <s v="POST-60254"/>
        <s v="POST-60255"/>
        <s v="POST-60256"/>
        <s v="POST-60257"/>
        <s v="POST-60258"/>
        <s v="POST-60259"/>
        <s v="POST-60260"/>
        <s v="POST-60261"/>
        <s v="POST-60262"/>
        <s v="POST-60263"/>
        <s v="POST-60264"/>
        <s v="POST-60265"/>
        <s v="POST-60266"/>
        <s v="POST-60267"/>
        <s v="POST-60268"/>
        <s v="POST-60269"/>
        <s v="POST-60270"/>
        <s v="POST-60271"/>
        <s v="POST-60272"/>
        <s v="POST-60273"/>
        <s v="POST-60274"/>
        <s v="POST-60275"/>
        <s v="POST-60276"/>
        <s v="POST-60277"/>
        <s v="POST-60278"/>
        <s v="POST-60279"/>
        <s v="POST-60280"/>
        <s v="POST-60281"/>
        <s v="POST-60282"/>
        <s v="POST-60283"/>
        <s v="POST-60284"/>
        <s v="POST-60285"/>
        <s v="POST-60286"/>
        <s v="POST-60287"/>
        <s v="POST-60288"/>
        <s v="POST-60289"/>
        <s v="POST-60290"/>
        <s v="POST-60291"/>
        <s v="POST-60292"/>
        <s v="POST-60293"/>
        <s v="POST-60294"/>
        <s v="POST-60295"/>
        <s v="POST-60296"/>
        <s v="POST-60297"/>
        <s v="POST-60298"/>
        <s v="POST-60299"/>
        <s v="POST-60300"/>
        <s v="POST-60301"/>
        <s v="POST-60302"/>
        <s v="POST-60303"/>
        <s v="POST-60304"/>
        <s v="POST-60305"/>
        <s v="POST-60306"/>
        <s v="POST-60307"/>
        <s v="POST-60308"/>
        <s v="POST-60309"/>
        <s v="POST-60310"/>
        <s v="POST-60311"/>
        <s v="POST-60312"/>
        <s v="POST-60313"/>
        <s v="POST-60314"/>
        <s v="POST-60315"/>
        <s v="POST-60316"/>
        <s v="POST-60317"/>
        <s v="POST-60318"/>
        <s v="POST-60319"/>
        <s v="POST-60320"/>
        <s v="POST-60321"/>
        <s v="POST-60322"/>
        <s v="POST-60323"/>
        <s v="POST-60324"/>
        <s v="POST-60325"/>
        <s v="POST-60326"/>
        <s v="POST-60327"/>
        <s v="POST-60328"/>
        <s v="POST-60329"/>
        <s v="POST-60330"/>
        <s v="POST-60331"/>
        <s v="POST-60332"/>
        <s v="POST-60333"/>
        <s v="POST-60334"/>
        <s v="POST-60335"/>
        <s v="POST-60336"/>
        <s v="POST-60337"/>
        <s v="POST-60338"/>
        <s v="POST-60339"/>
        <s v="POST-60340"/>
        <s v="POST-60341"/>
        <s v="POST-60342"/>
        <s v="POST-60343"/>
        <s v="POST-60344"/>
        <s v="POST-60345"/>
        <s v="POST-60346"/>
        <s v="POST-60347"/>
        <s v="POST-60348"/>
        <s v="POST-60349"/>
        <s v="POST-60350"/>
        <s v="POST-60351"/>
        <s v="POST-60352"/>
        <s v="POST-60353"/>
        <s v="POST-60354"/>
        <s v="POST-60355"/>
        <s v="POST-60356"/>
        <s v="POST-60357"/>
        <s v="POST-60358"/>
        <s v="POST-60359"/>
        <s v="POST-60360"/>
        <s v="POST-60361"/>
        <s v="POST-60362"/>
        <s v="POST-60363"/>
        <s v="POST-60364"/>
        <s v="POST-60365"/>
        <s v="POST-60366"/>
        <s v="POST-60367"/>
        <s v="POST-60368"/>
        <s v="POST-60369"/>
        <s v="POST-60370"/>
        <s v="POST-60371"/>
        <s v="POST-60372"/>
        <s v="POST-60373"/>
        <s v="POST-60374"/>
        <s v="POST-60375"/>
        <s v="POST-60376"/>
        <s v="POST-60377"/>
        <s v="POST-60378"/>
        <s v="POST-60379"/>
        <s v="POST-60380"/>
        <s v="POST-60381"/>
        <s v="POST-60382"/>
        <s v="POST-60383"/>
        <s v="POST-60384"/>
        <s v="POST-60385"/>
        <s v="POST-60386"/>
        <s v="POST-60387"/>
        <s v="POST-60388"/>
        <s v="POST-60389"/>
        <s v="POST-60390"/>
        <s v="POST-60391"/>
        <s v="POST-60392"/>
        <s v="POST-60393"/>
        <s v="POST-60394"/>
        <s v="POST-60395"/>
        <s v="POST-60396"/>
        <s v="POST-60397"/>
        <s v="POST-60398"/>
        <s v="POST-60399"/>
        <s v="POST-60400"/>
        <s v="POST-60401"/>
        <s v="POST-60402"/>
        <s v="POST-60403"/>
        <s v="POST-60404"/>
        <s v="POST-60405"/>
        <s v="POST-60406"/>
        <s v="POST-60407"/>
        <s v="POST-60408"/>
        <s v="POST-60409"/>
        <s v="POST-60410"/>
        <s v="POST-60411"/>
        <s v="POST-60412"/>
        <s v="POST-60413"/>
        <s v="POST-60414"/>
        <s v="POST-60415"/>
        <s v="POST-60416"/>
        <s v="POST-60417"/>
        <s v="POST-60418"/>
        <s v="POST-60419"/>
        <s v="POST-60420"/>
        <s v="POST-60421"/>
        <s v="POST-60422"/>
        <s v="POST-60423"/>
        <s v="POST-60424"/>
        <s v="POST-60425"/>
        <s v="POST-60426"/>
        <s v="POST-60427"/>
        <s v="POST-60428"/>
        <s v="POST-60429"/>
        <s v="POST-60430"/>
        <s v="POST-60431"/>
        <s v="POST-60432"/>
        <s v="POST-60433"/>
        <s v="POST-60434"/>
        <s v="POST-60435"/>
        <s v="POST-60436"/>
        <s v="POST-60437"/>
        <s v="POST-60438"/>
        <s v="POST-60439"/>
        <s v="POST-60440"/>
        <s v="POST-60441"/>
        <s v="POST-60442"/>
        <s v="POST-60443"/>
        <s v="POST-60444"/>
        <s v="POST-60445"/>
        <s v="POST-60446"/>
        <s v="POST-60447"/>
        <s v="POST-60448"/>
        <s v="POST-60449"/>
        <s v="POST-60450"/>
        <s v="POST-60451"/>
        <s v="POST-60452"/>
        <s v="POST-60453"/>
        <s v="POST-60454"/>
        <s v="POST-60455"/>
        <s v="POST-60456"/>
        <s v="POST-60457"/>
        <s v="POST-60458"/>
        <s v="POST-60459"/>
        <s v="POST-60460"/>
        <s v="POST-60461"/>
        <s v="POST-60462"/>
        <s v="POST-60463"/>
        <s v="POST-60464"/>
        <s v="POST-60465"/>
        <s v="POST-60466"/>
        <s v="POST-60467"/>
        <s v="POST-60468"/>
        <s v="POST-60469"/>
        <s v="POST-60470"/>
        <s v="POST-60471"/>
        <s v="POST-60472"/>
        <s v="POST-60473"/>
        <s v="POST-60474"/>
        <s v="POST-60475"/>
        <s v="POST-60476"/>
        <s v="POST-60477"/>
        <s v="POST-60478"/>
        <s v="POST-60479"/>
        <s v="POST-60480"/>
        <s v="POST-60481"/>
        <s v="POST-60482"/>
        <s v="POST-60483"/>
        <s v="POST-60484"/>
        <s v="POST-60485"/>
        <s v="POST-60486"/>
        <s v="POST-60487"/>
        <s v="POST-60488"/>
        <s v="POST-60489"/>
        <s v="POST-60490"/>
        <s v="POST-60491"/>
        <s v="POST-60492"/>
        <s v="POST-60493"/>
        <s v="POST-60494"/>
        <s v="POST-60495"/>
        <s v="POST-60496"/>
        <s v="POST-60497"/>
        <s v="POST-60498"/>
        <s v="POST-60499"/>
        <s v="POST-60500"/>
        <s v="POST-60501"/>
        <s v="POST-60502"/>
        <s v="POST-60503"/>
        <s v="POST-60504"/>
        <s v="POST-60505"/>
        <s v="POST-60506"/>
        <s v="POST-60507"/>
        <s v="POST-60508"/>
        <s v="POST-60509"/>
        <s v="POST-60510"/>
        <s v="POST-60511"/>
        <s v="POST-60512"/>
        <s v="POST-60513"/>
        <s v="POST-60514"/>
        <s v="POST-60515"/>
        <s v="POST-60516"/>
        <s v="POST-60517"/>
        <s v="POST-60518"/>
        <s v="POST-60519"/>
        <s v="POST-60520"/>
        <s v="POST-60521"/>
        <s v="POST-60522"/>
        <s v="POST-60523"/>
        <s v="POST-60524"/>
        <s v="POST-60525"/>
        <s v="POST-60526"/>
        <s v="POST-60527"/>
        <s v="POST-60528"/>
        <s v="POST-60529"/>
        <s v="POST-60530"/>
        <s v="POST-60531"/>
        <s v="POST-60532"/>
        <s v="POST-60533"/>
        <s v="POST-60534"/>
        <s v="POST-60535"/>
        <s v="POST-60536"/>
        <s v="POST-60537"/>
        <s v="POST-60538"/>
        <s v="POST-60539"/>
        <s v="POST-60540"/>
        <s v="POST-60541"/>
        <s v="POST-60542"/>
        <s v="POST-60543"/>
        <s v="POST-60544"/>
        <s v="POST-60545"/>
        <s v="POST-60546"/>
        <s v="POST-60547"/>
        <s v="POST-60548"/>
        <s v="POST-60549"/>
        <s v="POST-60550"/>
        <s v="POST-60551"/>
        <s v="POST-60552"/>
        <s v="POST-60553"/>
        <s v="POST-60554"/>
        <s v="POST-60555"/>
        <s v="POST-60556"/>
        <s v="POST-60557"/>
        <s v="POST-60558"/>
        <s v="POST-60559"/>
        <s v="POST-60560"/>
        <s v="POST-60561"/>
        <s v="POST-60562"/>
        <s v="POST-60563"/>
        <s v="POST-60564"/>
        <s v="POST-60565"/>
        <s v="POST-60566"/>
        <s v="POST-60567"/>
        <s v="POST-60568"/>
        <s v="POST-60569"/>
        <s v="POST-60570"/>
        <s v="POST-60571"/>
        <s v="POST-60572"/>
        <s v="POST-60573"/>
        <s v="POST-60574"/>
        <s v="POST-60575"/>
        <s v="POST-60576"/>
        <s v="POST-60577"/>
        <s v="POST-60578"/>
        <s v="POST-60579"/>
        <s v="POST-60580"/>
        <s v="POST-60581"/>
        <s v="POST-60582"/>
        <s v="POST-60583"/>
        <s v="POST-60584"/>
        <s v="POST-60585"/>
        <s v="POST-60586"/>
        <s v="POST-60587"/>
        <s v="POST-60588"/>
        <s v="POST-60589"/>
        <s v="POST-60590"/>
        <s v="POST-60591"/>
        <s v="POST-60592"/>
        <s v="POST-60593"/>
        <s v="POST-60594"/>
        <s v="POST-60595"/>
        <s v="POST-60596"/>
        <s v="POST-60597"/>
        <s v="POST-60598"/>
        <s v="POST-60599"/>
        <s v="POST-60600"/>
        <s v="POST-60601"/>
        <s v="POST-60602"/>
        <s v="POST-60603"/>
        <s v="POST-60604"/>
        <s v="POST-60605"/>
        <s v="POST-60606"/>
        <s v="POST-60607"/>
        <s v="POST-60608"/>
        <s v="POST-60609"/>
        <s v="POST-60610"/>
        <s v="POST-60611"/>
        <s v="POST-60612"/>
        <s v="POST-60613"/>
        <s v="POST-60614"/>
        <s v="POST-60615"/>
        <s v="POST-60616"/>
        <s v="POST-60617"/>
        <s v="POST-60618"/>
        <s v="POST-60619"/>
        <s v="POST-60620"/>
        <s v="POST-60621"/>
        <s v="POST-60622"/>
        <s v="POST-60623"/>
        <s v="POST-60624"/>
        <s v="POST-60625"/>
        <s v="POST-60626"/>
        <s v="POST-60627"/>
        <s v="POST-60628"/>
        <s v="POST-60629"/>
        <s v="POST-60630"/>
        <s v="POST-60631"/>
        <s v="POST-60632"/>
        <s v="POST-60633"/>
        <s v="POST-60634"/>
        <s v="POST-60635"/>
        <s v="POST-60636"/>
        <s v="POST-60637"/>
        <s v="POST-60638"/>
        <s v="POST-60639"/>
        <s v="POST-60640"/>
        <s v="POST-60641"/>
        <s v="POST-60642"/>
        <s v="POST-60643"/>
        <s v="POST-60644"/>
        <s v="POST-60645"/>
        <s v="POST-60646"/>
        <s v="POST-60647"/>
        <s v="POST-60648"/>
        <s v="POST-60649"/>
        <s v="POST-60650"/>
        <s v="POST-60651"/>
        <s v="POST-60652"/>
        <s v="POST-60653"/>
        <s v="POST-60654"/>
        <s v="POST-60655"/>
        <s v="POST-60656"/>
        <s v="POST-60657"/>
        <s v="POST-60658"/>
        <s v="POST-60659"/>
        <s v="POST-60660"/>
        <s v="POST-60661"/>
        <s v="POST-60662"/>
        <s v="POST-60663"/>
        <s v="POST-60664"/>
        <s v="POST-60665"/>
        <s v="POST-60666"/>
        <s v="POST-60667"/>
        <s v="POST-60668"/>
        <s v="POST-60669"/>
        <s v="POST-60670"/>
        <s v="POST-60671"/>
        <s v="POST-60672"/>
        <s v="POST-60673"/>
        <s v="POST-60674"/>
        <s v="POST-60675"/>
        <s v="POST-60676"/>
        <s v="POST-60677"/>
        <s v="POST-60678"/>
        <s v="POST-60679"/>
        <s v="POST-60680"/>
        <s v="POST-60681"/>
        <s v="POST-60682"/>
        <s v="POST-60683"/>
        <s v="POST-60684"/>
        <s v="POST-60685"/>
        <s v="POST-60686"/>
        <s v="POST-60687"/>
        <s v="POST-60688"/>
        <s v="POST-60689"/>
        <s v="POST-60690"/>
        <s v="POST-60691"/>
        <s v="POST-60692"/>
        <s v="POST-60693"/>
        <s v="POST-60694"/>
        <s v="POST-60695"/>
        <s v="POST-60696"/>
        <s v="POST-60697"/>
        <s v="POST-60698"/>
        <s v="POST-60699"/>
        <s v="POST-60700"/>
        <s v="POST-60701"/>
        <s v="POST-60702"/>
        <s v="POST-60703"/>
        <s v="POST-60704"/>
        <s v="POST-60705"/>
        <s v="POST-60706"/>
        <s v="POST-60707"/>
        <s v="POST-60708"/>
        <s v="POST-60709"/>
        <s v="POST-60710"/>
        <s v="POST-60711"/>
        <s v="POST-60712"/>
        <s v="POST-60713"/>
        <s v="POST-60714"/>
        <s v="POST-60715"/>
        <s v="POST-60716"/>
        <s v="POST-60717"/>
        <s v="POST-60718"/>
        <s v="POST-60719"/>
        <s v="POST-60720"/>
        <s v="POST-60721"/>
        <s v="POST-60722"/>
        <s v="POST-60723"/>
        <s v="POST-60724"/>
        <s v="POST-60725"/>
        <s v="POST-60726"/>
        <s v="POST-60727"/>
        <s v="POST-60728"/>
        <s v="POST-60729"/>
        <s v="POST-60730"/>
        <s v="POST-60731"/>
        <s v="POST-60732"/>
        <s v="POST-60733"/>
        <s v="POST-60734"/>
        <s v="POST-60735"/>
        <s v="POST-60736"/>
        <s v="POST-60737"/>
        <s v="POST-60738"/>
        <s v="POST-60739"/>
        <s v="POST-60740"/>
        <s v="POST-60741"/>
        <s v="POST-60742"/>
        <s v="POST-60743"/>
        <s v="POST-60744"/>
        <s v="POST-60745"/>
        <s v="POST-60746"/>
        <s v="POST-60747"/>
        <s v="POST-60748"/>
        <s v="POST-60749"/>
        <s v="POST-60750"/>
        <s v="POST-60751"/>
        <s v="POST-60752"/>
        <s v="POST-60753"/>
        <s v="POST-60754"/>
        <s v="POST-60755"/>
        <s v="POST-60756"/>
        <s v="POST-60757"/>
        <s v="POST-60758"/>
        <s v="POST-60759"/>
        <s v="POST-60760"/>
        <s v="POST-60761"/>
        <s v="POST-60762"/>
        <s v="POST-60763"/>
        <s v="POST-60764"/>
        <s v="POST-60765"/>
        <s v="POST-60766"/>
        <s v="POST-60767"/>
        <s v="POST-60768"/>
        <s v="POST-60769"/>
        <s v="POST-60770"/>
        <s v="POST-60771"/>
        <s v="POST-60772"/>
        <s v="POST-60773"/>
        <s v="POST-60774"/>
        <s v="POST-60775"/>
        <s v="POST-60776"/>
        <s v="POST-60777"/>
        <s v="POST-60778"/>
        <s v="POST-60779"/>
        <s v="POST-60780"/>
        <s v="POST-60781"/>
        <s v="POST-60782"/>
        <s v="POST-60783"/>
        <s v="POST-60784"/>
        <s v="POST-60785"/>
        <s v="POST-60786"/>
        <s v="POST-60787"/>
        <s v="POST-60788"/>
        <s v="POST-60789"/>
        <s v="POST-60790"/>
        <s v="POST-60791"/>
        <s v="POST-60792"/>
        <s v="POST-60793"/>
        <s v="POST-60794"/>
        <s v="POST-60795"/>
        <s v="POST-60796"/>
        <s v="POST-60797"/>
        <s v="POST-60798"/>
        <s v="POST-60799"/>
        <s v="POST-60800"/>
        <s v="POST-60801"/>
        <s v="POST-60802"/>
        <s v="POST-60803"/>
        <s v="POST-60804"/>
        <s v="POST-60805"/>
        <s v="POST-60806"/>
        <s v="POST-60807"/>
        <s v="POST-60808"/>
        <s v="POST-60809"/>
        <s v="POST-60810"/>
        <s v="POST-60811"/>
        <s v="POST-60812"/>
        <s v="POST-60813"/>
        <s v="POST-60814"/>
        <s v="POST-60815"/>
        <s v="POST-60816"/>
        <s v="POST-60817"/>
        <s v="POST-60818"/>
        <s v="POST-60819"/>
        <s v="POST-60820"/>
        <s v="POST-60821"/>
        <s v="POST-60822"/>
        <s v="POST-60823"/>
        <s v="POST-60824"/>
        <s v="POST-60825"/>
        <s v="POST-60826"/>
        <s v="POST-60827"/>
        <s v="POST-60828"/>
        <s v="POST-60829"/>
        <s v="POST-60830"/>
        <s v="POST-60831"/>
        <s v="POST-60832"/>
        <s v="POST-60833"/>
        <s v="POST-60834"/>
        <s v="POST-60835"/>
        <s v="POST-60836"/>
        <s v="POST-60837"/>
        <s v="POST-60838"/>
        <s v="POST-60839"/>
        <s v="POST-60840"/>
        <s v="POST-60841"/>
        <s v="POST-60842"/>
        <s v="POST-60843"/>
        <s v="POST-60844"/>
        <s v="POST-60845"/>
        <s v="POST-60846"/>
        <s v="POST-60847"/>
        <s v="POST-60848"/>
        <s v="POST-60849"/>
        <s v="POST-60850"/>
        <s v="POST-60851"/>
        <s v="POST-60852"/>
        <s v="POST-60853"/>
        <s v="POST-60854"/>
        <s v="POST-60855"/>
        <s v="POST-60856"/>
        <s v="POST-60857"/>
        <s v="POST-60858"/>
        <s v="POST-60859"/>
        <s v="POST-60860"/>
        <s v="POST-60861"/>
        <s v="POST-60862"/>
        <s v="POST-60863"/>
        <s v="POST-60864"/>
        <s v="POST-60865"/>
        <s v="POST-60866"/>
        <s v="POST-60867"/>
        <s v="POST-60868"/>
        <s v="POST-60869"/>
        <s v="POST-60870"/>
        <s v="POST-60871"/>
        <s v="POST-60872"/>
        <s v="POST-60873"/>
        <s v="POST-60874"/>
        <s v="POST-60875"/>
        <s v="POST-60876"/>
        <s v="POST-60877"/>
        <s v="POST-60878"/>
        <s v="POST-60879"/>
        <s v="POST-60880"/>
        <s v="POST-60881"/>
        <s v="POST-60882"/>
        <s v="POST-60883"/>
        <s v="POST-60884"/>
        <s v="POST-60885"/>
        <s v="POST-60886"/>
        <s v="POST-60887"/>
        <s v="POST-60888"/>
        <s v="POST-60889"/>
        <s v="POST-60890"/>
        <s v="POST-60891"/>
        <s v="POST-60892"/>
        <s v="POST-60893"/>
        <s v="POST-60894"/>
        <s v="POST-60895"/>
        <s v="POST-60896"/>
        <s v="POST-60897"/>
        <s v="POST-60898"/>
        <s v="POST-60899"/>
        <s v="POST-60900"/>
        <s v="POST-60901"/>
        <s v="POST-60902"/>
        <s v="POST-60903"/>
        <s v="POST-60904"/>
        <s v="POST-60905"/>
        <s v="POST-60906"/>
        <s v="POST-60907"/>
        <s v="POST-60908"/>
        <s v="POST-60909"/>
        <s v="POST-60910"/>
        <s v="POST-60911"/>
        <s v="POST-60912"/>
        <s v="POST-60913"/>
        <s v="POST-60914"/>
        <s v="POST-60915"/>
        <s v="POST-60916"/>
        <s v="POST-60917"/>
        <s v="POST-60918"/>
        <s v="POST-60919"/>
        <s v="POST-60920"/>
        <s v="POST-60921"/>
        <s v="POST-60922"/>
        <s v="POST-60923"/>
        <s v="POST-60924"/>
        <s v="POST-60925"/>
        <s v="POST-60926"/>
        <s v="POST-60927"/>
        <s v="POST-60928"/>
        <s v="POST-60929"/>
        <s v="POST-60930"/>
        <s v="POST-60931"/>
        <s v="POST-60932"/>
        <s v="POST-60933"/>
        <s v="POST-60934"/>
        <s v="POST-60935"/>
        <s v="POST-60936"/>
        <s v="POST-60937"/>
        <s v="POST-60938"/>
        <s v="POST-60939"/>
        <s v="POST-60940"/>
        <s v="POST-60941"/>
        <s v="POST-60942"/>
        <s v="POST-60943"/>
        <s v="POST-60944"/>
        <s v="POST-60945"/>
        <s v="POST-60946"/>
        <s v="POST-60947"/>
        <s v="POST-60948"/>
        <s v="POST-60949"/>
        <s v="POST-60950"/>
        <s v="POST-60951"/>
        <s v="POST-60952"/>
        <s v="POST-60953"/>
        <s v="POST-60954"/>
        <s v="POST-60955"/>
        <s v="POST-60956"/>
        <s v="POST-60957"/>
        <s v="POST-60958"/>
        <s v="POST-60959"/>
        <s v="POST-60960"/>
        <s v="POST-60961"/>
        <s v="POST-60962"/>
        <s v="POST-60963"/>
        <s v="POST-60964"/>
        <s v="POST-60965"/>
        <s v="POST-60966"/>
        <s v="POST-60967"/>
        <s v="POST-60968"/>
        <s v="POST-60969"/>
        <s v="POST-60970"/>
        <s v="POST-60971"/>
        <s v="POST-60972"/>
        <s v="POST-60973"/>
        <s v="POST-60974"/>
        <s v="POST-60975"/>
        <s v="POST-60976"/>
        <s v="POST-60977"/>
        <s v="POST-60978"/>
        <s v="POST-60979"/>
        <s v="POST-60980"/>
        <s v="POST-60981"/>
        <s v="POST-60982"/>
        <s v="POST-60983"/>
        <s v="POST-60984"/>
        <s v="POST-60985"/>
        <s v="POST-60986"/>
        <s v="POST-60987"/>
        <s v="POST-60988"/>
        <s v="POST-60989"/>
        <s v="POST-60990"/>
        <s v="POST-60991"/>
        <s v="POST-60992"/>
        <s v="POST-60993"/>
        <s v="POST-60994"/>
        <s v="POST-60995"/>
        <s v="POST-60996"/>
        <s v="POST-60997"/>
        <s v="POST-60998"/>
        <s v="POST-60999"/>
        <s v="POST-61000"/>
      </sharedItems>
    </cacheField>
    <cacheField name="Platform" numFmtId="0">
      <sharedItems count="5">
        <s v="Facebook"/>
        <s v="Instagram"/>
        <s v="Twitter"/>
        <s v="TikTok"/>
        <s v="LinkedIn"/>
      </sharedItems>
    </cacheField>
    <cacheField name="Post Date" numFmtId="14">
      <sharedItems containsSemiMixedTypes="0" containsNonDate="0" containsDate="1" containsString="0" minDate="2024-01-01T00:00:00" maxDate="2025-12-29T00:00:00" count="543">
        <d v="2025-01-28T00:00:00"/>
        <d v="2025-10-29T00:00:00"/>
        <d v="2024-05-21T00:00:00"/>
        <d v="2025-06-27T00:00:00"/>
        <d v="2024-04-15T00:00:00"/>
        <d v="2024-03-21T00:00:00"/>
        <d v="2025-08-26T00:00:00"/>
        <d v="2024-07-04T00:00:00"/>
        <d v="2024-01-29T00:00:00"/>
        <d v="2024-09-15T00:00:00"/>
        <d v="2024-08-26T00:00:00"/>
        <d v="2024-02-08T00:00:00"/>
        <d v="2024-04-29T00:00:00"/>
        <d v="2024-12-07T00:00:00"/>
        <d v="2024-09-11T00:00:00"/>
        <d v="2025-12-22T00:00:00"/>
        <d v="2024-03-25T00:00:00"/>
        <d v="2025-09-18T00:00:00"/>
        <d v="2024-08-07T00:00:00"/>
        <d v="2025-07-23T00:00:00"/>
        <d v="2025-04-23T00:00:00"/>
        <d v="2024-08-30T00:00:00"/>
        <d v="2025-11-07T00:00:00"/>
        <d v="2025-11-15T00:00:00"/>
        <d v="2024-10-14T00:00:00"/>
        <d v="2025-09-09T00:00:00"/>
        <d v="2024-01-20T00:00:00"/>
        <d v="2025-07-18T00:00:00"/>
        <d v="2024-11-04T00:00:00"/>
        <d v="2025-09-25T00:00:00"/>
        <d v="2025-07-01T00:00:00"/>
        <d v="2024-11-10T00:00:00"/>
        <d v="2024-12-16T00:00:00"/>
        <d v="2025-04-13T00:00:00"/>
        <d v="2025-05-19T00:00:00"/>
        <d v="2024-09-28T00:00:00"/>
        <d v="2025-03-22T00:00:00"/>
        <d v="2025-02-02T00:00:00"/>
        <d v="2025-01-03T00:00:00"/>
        <d v="2025-11-30T00:00:00"/>
        <d v="2025-11-04T00:00:00"/>
        <d v="2025-02-25T00:00:00"/>
        <d v="2025-07-13T00:00:00"/>
        <d v="2024-10-23T00:00:00"/>
        <d v="2025-11-11T00:00:00"/>
        <d v="2024-12-03T00:00:00"/>
        <d v="2025-09-17T00:00:00"/>
        <d v="2025-10-09T00:00:00"/>
        <d v="2025-07-29T00:00:00"/>
        <d v="2024-06-02T00:00:00"/>
        <d v="2025-03-14T00:00:00"/>
        <d v="2024-08-25T00:00:00"/>
        <d v="2025-05-25T00:00:00"/>
        <d v="2025-09-23T00:00:00"/>
        <d v="2024-01-02T00:00:00"/>
        <d v="2025-12-15T00:00:00"/>
        <d v="2025-10-27T00:00:00"/>
        <d v="2025-06-15T00:00:00"/>
        <d v="2025-02-08T00:00:00"/>
        <d v="2024-07-08T00:00:00"/>
        <d v="2024-03-29T00:00:00"/>
        <d v="2025-05-21T00:00:00"/>
        <d v="2025-11-01T00:00:00"/>
        <d v="2024-07-12T00:00:00"/>
        <d v="2025-01-11T00:00:00"/>
        <d v="2025-04-16T00:00:00"/>
        <d v="2025-07-02T00:00:00"/>
        <d v="2025-04-06T00:00:00"/>
        <d v="2024-11-25T00:00:00"/>
        <d v="2024-09-26T00:00:00"/>
        <d v="2024-09-07T00:00:00"/>
        <d v="2024-09-03T00:00:00"/>
        <d v="2024-04-10T00:00:00"/>
        <d v="2025-04-01T00:00:00"/>
        <d v="2024-06-11T00:00:00"/>
        <d v="2025-01-23T00:00:00"/>
        <d v="2024-01-17T00:00:00"/>
        <d v="2025-03-24T00:00:00"/>
        <d v="2024-08-19T00:00:00"/>
        <d v="2024-12-09T00:00:00"/>
        <d v="2024-06-07T00:00:00"/>
        <d v="2024-08-20T00:00:00"/>
        <d v="2024-03-28T00:00:00"/>
        <d v="2024-08-13T00:00:00"/>
        <d v="2024-05-26T00:00:00"/>
        <d v="2024-10-19T00:00:00"/>
        <d v="2024-06-16T00:00:00"/>
        <d v="2025-05-29T00:00:00"/>
        <d v="2024-09-13T00:00:00"/>
        <d v="2024-03-07T00:00:00"/>
        <d v="2025-07-06T00:00:00"/>
        <d v="2024-11-19T00:00:00"/>
        <d v="2024-12-11T00:00:00"/>
        <d v="2024-01-18T00:00:00"/>
        <d v="2025-04-21T00:00:00"/>
        <d v="2025-06-30T00:00:00"/>
        <d v="2025-12-11T00:00:00"/>
        <d v="2025-07-22T00:00:00"/>
        <d v="2024-02-11T00:00:00"/>
        <d v="2024-12-01T00:00:00"/>
        <d v="2025-01-20T00:00:00"/>
        <d v="2025-09-19T00:00:00"/>
        <d v="2025-04-08T00:00:00"/>
        <d v="2025-05-31T00:00:00"/>
        <d v="2024-05-30T00:00:00"/>
        <d v="2025-01-25T00:00:00"/>
        <d v="2024-03-31T00:00:00"/>
        <d v="2025-09-01T00:00:00"/>
        <d v="2024-06-24T00:00:00"/>
        <d v="2025-02-03T00:00:00"/>
        <d v="2024-03-15T00:00:00"/>
        <d v="2024-12-17T00:00:00"/>
        <d v="2024-08-03T00:00:00"/>
        <d v="2025-08-21T00:00:00"/>
        <d v="2024-06-01T00:00:00"/>
        <d v="2025-06-22T00:00:00"/>
        <d v="2024-02-23T00:00:00"/>
        <d v="2024-05-03T00:00:00"/>
        <d v="2025-03-18T00:00:00"/>
        <d v="2024-12-24T00:00:00"/>
        <d v="2025-12-13T00:00:00"/>
        <d v="2024-10-06T00:00:00"/>
        <d v="2025-06-10T00:00:00"/>
        <d v="2024-06-29T00:00:00"/>
        <d v="2024-09-09T00:00:00"/>
        <d v="2024-12-30T00:00:00"/>
        <d v="2024-06-14T00:00:00"/>
        <d v="2025-01-24T00:00:00"/>
        <d v="2025-07-20T00:00:00"/>
        <d v="2025-04-07T00:00:00"/>
        <d v="2024-12-26T00:00:00"/>
        <d v="2025-08-07T00:00:00"/>
        <d v="2024-07-21T00:00:00"/>
        <d v="2025-08-29T00:00:00"/>
        <d v="2024-07-16T00:00:00"/>
        <d v="2025-09-20T00:00:00"/>
        <d v="2025-05-01T00:00:00"/>
        <d v="2025-08-27T00:00:00"/>
        <d v="2024-05-07T00:00:00"/>
        <d v="2024-06-27T00:00:00"/>
        <d v="2025-12-04T00:00:00"/>
        <d v="2024-01-01T00:00:00"/>
        <d v="2025-08-25T00:00:00"/>
        <d v="2024-04-07T00:00:00"/>
        <d v="2024-04-25T00:00:00"/>
        <d v="2025-05-06T00:00:00"/>
        <d v="2025-12-10T00:00:00"/>
        <d v="2025-01-08T00:00:00"/>
        <d v="2024-10-08T00:00:00"/>
        <d v="2024-03-27T00:00:00"/>
        <d v="2024-10-10T00:00:00"/>
        <d v="2024-05-13T00:00:00"/>
        <d v="2025-10-30T00:00:00"/>
        <d v="2025-02-19T00:00:00"/>
        <d v="2025-07-08T00:00:00"/>
        <d v="2025-04-29T00:00:00"/>
        <d v="2025-11-05T00:00:00"/>
        <d v="2025-03-10T00:00:00"/>
        <d v="2025-11-27T00:00:00"/>
        <d v="2025-06-07T00:00:00"/>
        <d v="2024-08-21T00:00:00"/>
        <d v="2024-03-06T00:00:00"/>
        <d v="2024-02-26T00:00:00"/>
        <d v="2025-01-18T00:00:00"/>
        <d v="2025-05-24T00:00:00"/>
        <d v="2025-05-09T00:00:00"/>
        <d v="2024-07-15T00:00:00"/>
        <d v="2025-10-05T00:00:00"/>
        <d v="2025-11-08T00:00:00"/>
        <d v="2024-08-27T00:00:00"/>
        <d v="2024-10-22T00:00:00"/>
        <d v="2025-02-01T00:00:00"/>
        <d v="2025-07-03T00:00:00"/>
        <d v="2024-11-20T00:00:00"/>
        <d v="2024-03-19T00:00:00"/>
        <d v="2025-06-29T00:00:00"/>
        <d v="2024-12-10T00:00:00"/>
        <d v="2025-07-28T00:00:00"/>
        <d v="2025-01-16T00:00:00"/>
        <d v="2025-08-28T00:00:00"/>
        <d v="2024-01-22T00:00:00"/>
        <d v="2024-06-25T00:00:00"/>
        <d v="2025-12-16T00:00:00"/>
        <d v="2024-08-10T00:00:00"/>
        <d v="2024-05-10T00:00:00"/>
        <d v="2025-06-09T00:00:00"/>
        <d v="2025-10-11T00:00:00"/>
        <d v="2024-01-21T00:00:00"/>
        <d v="2025-12-23T00:00:00"/>
        <d v="2025-08-15T00:00:00"/>
        <d v="2024-07-29T00:00:00"/>
        <d v="2024-11-03T00:00:00"/>
        <d v="2024-03-08T00:00:00"/>
        <d v="2024-11-14T00:00:00"/>
        <d v="2025-09-28T00:00:00"/>
        <d v="2024-09-29T00:00:00"/>
        <d v="2025-12-12T00:00:00"/>
        <d v="2025-06-14T00:00:00"/>
        <d v="2025-10-06T00:00:00"/>
        <d v="2024-01-14T00:00:00"/>
        <d v="2024-12-29T00:00:00"/>
        <d v="2025-07-27T00:00:00"/>
        <d v="2025-05-14T00:00:00"/>
        <d v="2024-06-22T00:00:00"/>
        <d v="2025-12-07T00:00:00"/>
        <d v="2024-01-13T00:00:00"/>
        <d v="2025-02-20T00:00:00"/>
        <d v="2024-05-22T00:00:00"/>
        <d v="2024-03-10T00:00:00"/>
        <d v="2025-05-20T00:00:00"/>
        <d v="2025-09-30T00:00:00"/>
        <d v="2025-08-19T00:00:00"/>
        <d v="2025-11-03T00:00:00"/>
        <d v="2025-09-29T00:00:00"/>
        <d v="2024-07-18T00:00:00"/>
        <d v="2024-10-30T00:00:00"/>
        <d v="2025-12-09T00:00:00"/>
        <d v="2024-07-03T00:00:00"/>
        <d v="2024-07-27T00:00:00"/>
        <d v="2025-05-15T00:00:00"/>
        <d v="2024-04-27T00:00:00"/>
        <d v="2025-07-25T00:00:00"/>
        <d v="2024-01-03T00:00:00"/>
        <d v="2024-12-05T00:00:00"/>
        <d v="2025-10-14T00:00:00"/>
        <d v="2024-02-04T00:00:00"/>
        <d v="2025-04-04T00:00:00"/>
        <d v="2025-11-26T00:00:00"/>
        <d v="2024-08-08T00:00:00"/>
        <d v="2024-08-17T00:00:00"/>
        <d v="2024-07-13T00:00:00"/>
        <d v="2025-04-19T00:00:00"/>
        <d v="2024-02-03T00:00:00"/>
        <d v="2025-10-10T00:00:00"/>
        <d v="2024-02-14T00:00:00"/>
        <d v="2024-09-19T00:00:00"/>
        <d v="2024-01-06T00:00:00"/>
        <d v="2025-12-25T00:00:00"/>
        <d v="2024-01-28T00:00:00"/>
        <d v="2025-02-24T00:00:00"/>
        <d v="2024-08-04T00:00:00"/>
        <d v="2024-02-24T00:00:00"/>
        <d v="2024-01-30T00:00:00"/>
        <d v="2024-04-21T00:00:00"/>
        <d v="2024-10-16T00:00:00"/>
        <d v="2025-10-25T00:00:00"/>
        <d v="2024-11-11T00:00:00"/>
        <d v="2025-01-12T00:00:00"/>
        <d v="2024-09-21T00:00:00"/>
        <d v="2024-12-23T00:00:00"/>
        <d v="2024-07-22T00:00:00"/>
        <d v="2025-02-05T00:00:00"/>
        <d v="2025-04-15T00:00:00"/>
        <d v="2025-09-15T00:00:00"/>
        <d v="2025-03-30T00:00:00"/>
        <d v="2024-11-28T00:00:00"/>
        <d v="2024-04-04T00:00:00"/>
        <d v="2025-03-17T00:00:00"/>
        <d v="2025-04-05T00:00:00"/>
        <d v="2025-10-08T00:00:00"/>
        <d v="2025-11-21T00:00:00"/>
        <d v="2024-10-26T00:00:00"/>
        <d v="2024-11-06T00:00:00"/>
        <d v="2025-11-12T00:00:00"/>
        <d v="2024-04-17T00:00:00"/>
        <d v="2025-08-20T00:00:00"/>
        <d v="2025-10-18T00:00:00"/>
        <d v="2025-10-22T00:00:00"/>
        <d v="2024-06-09T00:00:00"/>
        <d v="2025-03-28T00:00:00"/>
        <d v="2025-05-07T00:00:00"/>
        <d v="2024-04-08T00:00:00"/>
        <d v="2025-02-15T00:00:00"/>
        <d v="2024-04-28T00:00:00"/>
        <d v="2024-06-26T00:00:00"/>
        <d v="2025-10-12T00:00:00"/>
        <d v="2024-09-10T00:00:00"/>
        <d v="2025-03-06T00:00:00"/>
        <d v="2025-01-04T00:00:00"/>
        <d v="2025-02-23T00:00:00"/>
        <d v="2025-06-06T00:00:00"/>
        <d v="2024-10-13T00:00:00"/>
        <d v="2024-04-24T00:00:00"/>
        <d v="2024-03-13T00:00:00"/>
        <d v="2025-10-02T00:00:00"/>
        <d v="2025-10-17T00:00:00"/>
        <d v="2024-08-09T00:00:00"/>
        <d v="2025-11-25T00:00:00"/>
        <d v="2025-07-12T00:00:00"/>
        <d v="2024-07-06T00:00:00"/>
        <d v="2025-10-01T00:00:00"/>
        <d v="2024-03-05T00:00:00"/>
        <d v="2025-03-27T00:00:00"/>
        <d v="2024-09-02T00:00:00"/>
        <d v="2025-01-27T00:00:00"/>
        <d v="2024-07-05T00:00:00"/>
        <d v="2025-12-20T00:00:00"/>
        <d v="2025-04-24T00:00:00"/>
        <d v="2025-11-24T00:00:00"/>
        <d v="2025-06-08T00:00:00"/>
        <d v="2025-02-16T00:00:00"/>
        <d v="2025-11-29T00:00:00"/>
        <d v="2024-06-30T00:00:00"/>
        <d v="2025-06-17T00:00:00"/>
        <d v="2024-05-29T00:00:00"/>
        <d v="2024-01-11T00:00:00"/>
        <d v="2025-02-07T00:00:00"/>
        <d v="2025-02-14T00:00:00"/>
        <d v="2025-05-02T00:00:00"/>
        <d v="2025-06-18T00:00:00"/>
        <d v="2025-11-17T00:00:00"/>
        <d v="2024-04-19T00:00:00"/>
        <d v="2024-09-05T00:00:00"/>
        <d v="2025-11-16T00:00:00"/>
        <d v="2025-04-12T00:00:00"/>
        <d v="2024-11-21T00:00:00"/>
        <d v="2025-10-13T00:00:00"/>
        <d v="2025-10-20T00:00:00"/>
        <d v="2024-11-29T00:00:00"/>
        <d v="2025-03-19T00:00:00"/>
        <d v="2024-10-31T00:00:00"/>
        <d v="2024-06-21T00:00:00"/>
        <d v="2025-05-30T00:00:00"/>
        <d v="2025-03-31T00:00:00"/>
        <d v="2025-02-06T00:00:00"/>
        <d v="2025-02-17T00:00:00"/>
        <d v="2025-11-10T00:00:00"/>
        <d v="2025-05-18T00:00:00"/>
        <d v="2024-03-14T00:00:00"/>
        <d v="2025-06-25T00:00:00"/>
        <d v="2025-12-17T00:00:00"/>
        <d v="2024-09-14T00:00:00"/>
        <d v="2024-08-16T00:00:00"/>
        <d v="2024-11-02T00:00:00"/>
        <d v="2025-03-11T00:00:00"/>
        <d v="2025-09-22T00:00:00"/>
        <d v="2025-07-07T00:00:00"/>
        <d v="2024-12-28T00:00:00"/>
        <d v="2025-08-14T00:00:00"/>
        <d v="2025-01-22T00:00:00"/>
        <d v="2025-03-20T00:00:00"/>
        <d v="2025-02-28T00:00:00"/>
        <d v="2024-07-17T00:00:00"/>
        <d v="2025-09-14T00:00:00"/>
        <d v="2024-02-17T00:00:00"/>
        <d v="2024-02-15T00:00:00"/>
        <d v="2025-05-08T00:00:00"/>
        <d v="2024-03-20T00:00:00"/>
        <d v="2024-05-16T00:00:00"/>
        <d v="2025-01-17T00:00:00"/>
        <d v="2024-11-30T00:00:00"/>
        <d v="2024-09-12T00:00:00"/>
        <d v="2024-01-26T00:00:00"/>
        <d v="2025-12-03T00:00:00"/>
        <d v="2024-08-06T00:00:00"/>
        <d v="2024-10-03T00:00:00"/>
        <d v="2025-04-03T00:00:00"/>
        <d v="2025-06-03T00:00:00"/>
        <d v="2024-10-15T00:00:00"/>
        <d v="2025-03-15T00:00:00"/>
        <d v="2025-03-16T00:00:00"/>
        <d v="2024-02-10T00:00:00"/>
        <d v="2025-01-10T00:00:00"/>
        <d v="2025-04-18T00:00:00"/>
        <d v="2025-05-16T00:00:00"/>
        <d v="2024-07-07T00:00:00"/>
        <d v="2024-11-09T00:00:00"/>
        <d v="2025-09-12T00:00:00"/>
        <d v="2025-12-28T00:00:00"/>
        <d v="2025-09-26T00:00:00"/>
        <d v="2025-06-12T00:00:00"/>
        <d v="2025-04-14T00:00:00"/>
        <d v="2025-04-26T00:00:00"/>
        <d v="2024-03-09T00:00:00"/>
        <d v="2024-01-27T00:00:00"/>
        <d v="2025-03-25T00:00:00"/>
        <d v="2024-04-01T00:00:00"/>
        <d v="2024-05-12T00:00:00"/>
        <d v="2025-03-12T00:00:00"/>
        <d v="2025-01-06T00:00:00"/>
        <d v="2025-03-08T00:00:00"/>
        <d v="2025-07-04T00:00:00"/>
        <d v="2025-09-13T00:00:00"/>
        <d v="2025-08-24T00:00:00"/>
        <d v="2024-08-24T00:00:00"/>
        <d v="2024-01-19T00:00:00"/>
        <d v="2025-10-28T00:00:00"/>
        <d v="2024-01-08T00:00:00"/>
        <d v="2025-10-04T00:00:00"/>
        <d v="2024-02-22T00:00:00"/>
        <d v="2025-02-18T00:00:00"/>
        <d v="2024-02-19T00:00:00"/>
        <d v="2025-06-11T00:00:00"/>
        <d v="2024-08-29T00:00:00"/>
        <d v="2024-05-02T00:00:00"/>
        <d v="2024-09-17T00:00:00"/>
        <d v="2025-08-01T00:00:00"/>
        <d v="2024-02-01T00:00:00"/>
        <d v="2025-06-28T00:00:00"/>
        <d v="2024-10-01T00:00:00"/>
        <d v="2024-07-31T00:00:00"/>
        <d v="2024-07-26T00:00:00"/>
        <d v="2025-01-14T00:00:00"/>
        <d v="2024-05-25T00:00:00"/>
        <d v="2025-12-05T00:00:00"/>
        <d v="2025-03-26T00:00:00"/>
        <d v="2025-05-05T00:00:00"/>
        <d v="2024-09-16T00:00:00"/>
        <d v="2025-06-04T00:00:00"/>
        <d v="2025-08-17T00:00:00"/>
        <d v="2025-05-17T00:00:00"/>
        <d v="2024-05-11T00:00:00"/>
        <d v="2025-07-14T00:00:00"/>
        <d v="2025-12-14T00:00:00"/>
        <d v="2024-06-04T00:00:00"/>
        <d v="2024-12-08T00:00:00"/>
        <d v="2024-10-09T00:00:00"/>
        <d v="2025-11-22T00:00:00"/>
        <d v="2024-01-31T00:00:00"/>
        <d v="2024-09-08T00:00:00"/>
        <d v="2024-05-19T00:00:00"/>
        <d v="2024-11-22T00:00:00"/>
        <d v="2024-01-15T00:00:00"/>
        <d v="2024-10-20T00:00:00"/>
        <d v="2025-05-03T00:00:00"/>
        <d v="2025-01-15T00:00:00"/>
        <d v="2024-08-02T00:00:00"/>
        <d v="2025-09-10T00:00:00"/>
        <d v="2024-07-30T00:00:00"/>
        <d v="2025-11-09T00:00:00"/>
        <d v="2025-07-30T00:00:00"/>
        <d v="2024-03-17T00:00:00"/>
        <d v="2024-03-16T00:00:00"/>
        <d v="2025-12-18T00:00:00"/>
        <d v="2025-09-21T00:00:00"/>
        <d v="2025-03-13T00:00:00"/>
        <d v="2024-06-18T00:00:00"/>
        <d v="2024-08-15T00:00:00"/>
        <d v="2024-01-09T00:00:00"/>
        <d v="2024-11-12T00:00:00"/>
        <d v="2024-10-18T00:00:00"/>
        <d v="2024-09-18T00:00:00"/>
        <d v="2025-03-05T00:00:00"/>
        <d v="2024-09-27T00:00:00"/>
        <d v="2025-11-06T00:00:00"/>
        <d v="2025-07-11T00:00:00"/>
        <d v="2024-04-30T00:00:00"/>
        <d v="2025-08-11T00:00:00"/>
        <d v="2024-01-07T00:00:00"/>
        <d v="2025-12-24T00:00:00"/>
        <d v="2024-03-03T00:00:00"/>
        <d v="2024-10-24T00:00:00"/>
        <d v="2025-03-02T00:00:00"/>
        <d v="2025-12-01T00:00:00"/>
        <d v="2024-04-23T00:00:00"/>
        <d v="2024-04-16T00:00:00"/>
        <d v="2025-04-28T00:00:00"/>
        <d v="2025-02-09T00:00:00"/>
        <d v="2024-08-12T00:00:00"/>
        <d v="2024-01-24T00:00:00"/>
        <d v="2024-12-12T00:00:00"/>
        <d v="2024-08-22T00:00:00"/>
        <d v="2024-04-03T00:00:00"/>
        <d v="2025-10-15T00:00:00"/>
        <d v="2024-06-17T00:00:00"/>
        <d v="2024-12-02T00:00:00"/>
        <d v="2024-08-14T00:00:00"/>
        <d v="2025-07-16T00:00:00"/>
        <d v="2024-08-28T00:00:00"/>
        <d v="2024-02-21T00:00:00"/>
        <d v="2024-11-26T00:00:00"/>
        <d v="2024-06-10T00:00:00"/>
        <d v="2024-12-04T00:00:00"/>
        <d v="2024-11-18T00:00:00"/>
        <d v="2025-09-11T00:00:00"/>
        <d v="2025-02-11T00:00:00"/>
        <d v="2025-11-19T00:00:00"/>
        <d v="2024-06-23T00:00:00"/>
        <d v="2025-09-27T00:00:00"/>
        <d v="2024-01-25T00:00:00"/>
        <d v="2025-09-02T00:00:00"/>
        <d v="2024-08-31T00:00:00"/>
        <d v="2025-09-24T00:00:00"/>
        <d v="2025-06-19T00:00:00"/>
        <d v="2024-03-02T00:00:00"/>
        <d v="2024-11-16T00:00:00"/>
        <d v="2024-02-28T00:00:00"/>
        <d v="2025-07-31T00:00:00"/>
        <d v="2025-01-05T00:00:00"/>
        <d v="2024-03-22T00:00:00"/>
        <d v="2024-12-31T00:00:00"/>
        <d v="2025-04-30T00:00:00"/>
        <d v="2025-08-06T00:00:00"/>
        <d v="2025-12-19T00:00:00"/>
        <d v="2024-08-18T00:00:00"/>
        <d v="2024-10-07T00:00:00"/>
        <d v="2024-05-24T00:00:00"/>
        <d v="2024-07-28T00:00:00"/>
        <d v="2025-02-10T00:00:00"/>
        <d v="2025-04-27T00:00:00"/>
        <d v="2025-05-10T00:00:00"/>
        <d v="2024-03-30T00:00:00"/>
        <d v="2024-07-23T00:00:00"/>
        <d v="2025-10-24T00:00:00"/>
        <d v="2024-03-23T00:00:00"/>
        <d v="2024-04-18T00:00:00"/>
        <d v="2024-11-07T00:00:00"/>
        <d v="2025-07-09T00:00:00"/>
        <d v="2025-11-18T00:00:00"/>
        <d v="2024-06-12T00:00:00"/>
        <d v="2024-10-12T00:00:00"/>
        <d v="2025-05-27T00:00:00"/>
        <d v="2024-05-05T00:00:00"/>
        <d v="2025-11-23T00:00:00"/>
        <d v="2024-09-30T00:00:00"/>
        <d v="2025-07-24T00:00:00"/>
        <d v="2024-09-20T00:00:00"/>
        <d v="2025-03-21T00:00:00"/>
        <d v="2025-01-21T00:00:00"/>
        <d v="2025-04-17T00:00:00"/>
        <d v="2024-05-06T00:00:00"/>
        <d v="2025-11-13T00:00:00"/>
        <d v="2024-05-08T00:00:00"/>
        <d v="2024-06-03T00:00:00"/>
        <d v="2025-03-29T00:00:00"/>
        <d v="2024-03-01T00:00:00"/>
        <d v="2025-05-11T00:00:00"/>
        <d v="2025-08-31T00:00:00"/>
        <d v="2025-01-02T00:00:00"/>
        <d v="2024-10-25T00:00:00"/>
        <d v="2025-07-15T00:00:00"/>
        <d v="2024-06-08T00:00:00"/>
        <d v="2024-07-02T00:00:00"/>
        <d v="2025-10-16T00:00:00"/>
        <d v="2024-12-13T00:00:00"/>
        <d v="2024-05-18T00:00:00"/>
        <d v="2025-06-21T00:00:00"/>
        <d v="2025-09-16T00:00:00"/>
        <d v="2025-06-23T00:00:00"/>
        <d v="2024-12-18T00:00:00"/>
        <d v="2025-03-23T00:00:00"/>
        <d v="2025-09-06T00:00:00"/>
        <d v="2025-03-01T00:00:00"/>
      </sharedItems>
      <fieldGroup par="18"/>
    </cacheField>
    <cacheField name="Month" numFmtId="14">
      <sharedItems count="12">
        <s v="January"/>
        <s v="October"/>
        <s v="May"/>
        <s v="June"/>
        <s v="April"/>
        <s v="March"/>
        <s v="August"/>
        <s v="July"/>
        <s v="September"/>
        <s v="February"/>
        <s v="December"/>
        <s v="November"/>
      </sharedItems>
    </cacheField>
    <cacheField name="Year" numFmtId="164">
      <sharedItems count="2">
        <s v="2025"/>
        <s v="2024"/>
      </sharedItems>
    </cacheField>
    <cacheField name="Content Type" numFmtId="0">
      <sharedItems count="5">
        <s v="Text"/>
        <s v="Image"/>
        <s v="Video"/>
        <s v="Reel"/>
        <s v="Carousel"/>
      </sharedItems>
    </cacheField>
    <cacheField name="Impressions" numFmtId="3">
      <sharedItems containsSemiMixedTypes="0" containsString="0" containsNumber="1" containsInteger="1" minValue="276" maxValue="543651"/>
    </cacheField>
    <cacheField name="Reach" numFmtId="3">
      <sharedItems containsSemiMixedTypes="0" containsString="0" containsNumber="1" containsInteger="1" minValue="140" maxValue="341530"/>
    </cacheField>
    <cacheField name="Likes" numFmtId="3">
      <sharedItems containsSemiMixedTypes="0" containsString="0" containsNumber="1" containsInteger="1" minValue="2" maxValue="38740"/>
    </cacheField>
    <cacheField name="Comments" numFmtId="3">
      <sharedItems containsSemiMixedTypes="0" containsString="0" containsNumber="1" containsInteger="1" minValue="0" maxValue="7712"/>
    </cacheField>
    <cacheField name="Shares" numFmtId="3">
      <sharedItems containsSemiMixedTypes="0" containsString="0" containsNumber="1" containsInteger="1" minValue="1" maxValue="13325"/>
    </cacheField>
    <cacheField name="Engagement Rate %" numFmtId="10">
      <sharedItems containsSemiMixedTypes="0" containsString="0" containsNumber="1" minValue="1.2706313859051611E-2" maxValue="0.19337736613017512"/>
    </cacheField>
    <cacheField name="Reach Rate" numFmtId="0" formula="Reach/Impressions" databaseField="0"/>
    <cacheField name="Like %" numFmtId="0" formula="Likes/(Likes+Comments+Shares)" databaseField="0"/>
    <cacheField name="Comments %" numFmtId="0" formula="Comments/(Likes+Comments+Shares)" databaseField="0"/>
    <cacheField name="Shares %" numFmtId="0" formula="Shares/ (Likes+Comments+Shares)" databaseField="0"/>
    <cacheField name="Months (Post Date)" numFmtId="0" databaseField="0">
      <fieldGroup base="2">
        <rangePr groupBy="months" startDate="2024-01-01T00:00:00" endDate="2025-12-29T00:00:00"/>
        <groupItems count="14">
          <s v="&lt;1/1/2024"/>
          <s v="Jan"/>
          <s v="Feb"/>
          <s v="Mar"/>
          <s v="Apr"/>
          <s v="May"/>
          <s v="Jun"/>
          <s v="Jul"/>
          <s v="Aug"/>
          <s v="Sep"/>
          <s v="Oct"/>
          <s v="Nov"/>
          <s v="Dec"/>
          <s v="&gt;12/29/2025"/>
        </groupItems>
      </fieldGroup>
    </cacheField>
    <cacheField name="Quarters (Post Date)" numFmtId="0" databaseField="0">
      <fieldGroup base="2">
        <rangePr groupBy="quarters" startDate="2024-01-01T00:00:00" endDate="2025-12-29T00:00:00"/>
        <groupItems count="6">
          <s v="&lt;1/1/2024"/>
          <s v="Qtr1"/>
          <s v="Qtr2"/>
          <s v="Qtr3"/>
          <s v="Qtr4"/>
          <s v="&gt;12/29/2025"/>
        </groupItems>
      </fieldGroup>
    </cacheField>
    <cacheField name="Years (Post Date)" numFmtId="0" databaseField="0">
      <fieldGroup base="2">
        <rangePr groupBy="years" startDate="2024-01-01T00:00:00" endDate="2025-12-29T00:00:00"/>
        <groupItems count="4">
          <s v="&lt;1/1/2024"/>
          <s v="2024"/>
          <s v="2025"/>
          <s v="&gt;12/29/2025"/>
        </groupItems>
      </fieldGroup>
    </cacheField>
  </cacheFields>
  <extLst>
    <ext xmlns:x14="http://schemas.microsoft.com/office/spreadsheetml/2009/9/main" uri="{725AE2AE-9491-48be-B2B4-4EB974FC3084}">
      <x14:pivotCacheDefinition pivotCacheId="882646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24500"/>
    <n v="7733"/>
    <n v="383"/>
    <n v="68"/>
    <n v="188"/>
    <n v="8.2632872106556315E-2"/>
  </r>
  <r>
    <x v="1"/>
    <x v="1"/>
    <x v="1"/>
    <x v="1"/>
    <x v="0"/>
    <x v="1"/>
    <n v="23105"/>
    <n v="11753"/>
    <n v="298"/>
    <n v="61"/>
    <n v="69"/>
    <n v="3.6416234152982216E-2"/>
  </r>
  <r>
    <x v="2"/>
    <x v="2"/>
    <x v="2"/>
    <x v="2"/>
    <x v="1"/>
    <x v="2"/>
    <n v="24700"/>
    <n v="14185"/>
    <n v="168"/>
    <n v="54"/>
    <n v="238"/>
    <n v="3.2428621783574196E-2"/>
  </r>
  <r>
    <x v="3"/>
    <x v="3"/>
    <x v="3"/>
    <x v="3"/>
    <x v="0"/>
    <x v="2"/>
    <n v="400879"/>
    <n v="188271"/>
    <n v="5974"/>
    <n v="2084"/>
    <n v="6006"/>
    <n v="7.4700830186274048E-2"/>
  </r>
  <r>
    <x v="4"/>
    <x v="1"/>
    <x v="4"/>
    <x v="4"/>
    <x v="1"/>
    <x v="2"/>
    <n v="13259"/>
    <n v="5637"/>
    <n v="352"/>
    <n v="61"/>
    <n v="8"/>
    <n v="7.468511619655846E-2"/>
  </r>
  <r>
    <x v="5"/>
    <x v="1"/>
    <x v="5"/>
    <x v="5"/>
    <x v="1"/>
    <x v="1"/>
    <n v="6469"/>
    <n v="3790"/>
    <n v="205"/>
    <n v="10"/>
    <n v="13"/>
    <n v="6.0158311345646441E-2"/>
  </r>
  <r>
    <x v="6"/>
    <x v="1"/>
    <x v="6"/>
    <x v="6"/>
    <x v="0"/>
    <x v="3"/>
    <n v="35618"/>
    <n v="19926"/>
    <n v="667"/>
    <n v="236"/>
    <n v="182"/>
    <n v="5.4451470440630333E-2"/>
  </r>
  <r>
    <x v="7"/>
    <x v="4"/>
    <x v="7"/>
    <x v="7"/>
    <x v="1"/>
    <x v="0"/>
    <n v="9468"/>
    <n v="4910"/>
    <n v="173"/>
    <n v="67"/>
    <n v="20"/>
    <n v="5.2953156822810592E-2"/>
  </r>
  <r>
    <x v="8"/>
    <x v="1"/>
    <x v="8"/>
    <x v="0"/>
    <x v="1"/>
    <x v="3"/>
    <n v="99396"/>
    <n v="75092"/>
    <n v="5314"/>
    <n v="887"/>
    <n v="706"/>
    <n v="9.1980503915197354E-2"/>
  </r>
  <r>
    <x v="9"/>
    <x v="3"/>
    <x v="9"/>
    <x v="8"/>
    <x v="1"/>
    <x v="3"/>
    <n v="27570"/>
    <n v="16102"/>
    <n v="1791"/>
    <n v="337"/>
    <n v="297"/>
    <n v="0.15060240963855423"/>
  </r>
  <r>
    <x v="10"/>
    <x v="0"/>
    <x v="10"/>
    <x v="6"/>
    <x v="1"/>
    <x v="2"/>
    <n v="49204"/>
    <n v="23651"/>
    <n v="804"/>
    <n v="381"/>
    <n v="677"/>
    <n v="7.8728172170309918E-2"/>
  </r>
  <r>
    <x v="11"/>
    <x v="3"/>
    <x v="11"/>
    <x v="9"/>
    <x v="1"/>
    <x v="2"/>
    <n v="491623"/>
    <n v="208356"/>
    <n v="20614"/>
    <n v="3190"/>
    <n v="7463"/>
    <n v="0.15006527289830868"/>
  </r>
  <r>
    <x v="12"/>
    <x v="1"/>
    <x v="12"/>
    <x v="4"/>
    <x v="1"/>
    <x v="4"/>
    <n v="64155"/>
    <n v="29632"/>
    <n v="1109"/>
    <n v="285"/>
    <n v="145"/>
    <n v="5.1937095032397407E-2"/>
  </r>
  <r>
    <x v="13"/>
    <x v="1"/>
    <x v="13"/>
    <x v="10"/>
    <x v="1"/>
    <x v="4"/>
    <n v="28492"/>
    <n v="15059"/>
    <n v="332"/>
    <n v="141"/>
    <n v="89"/>
    <n v="3.7319875157712998E-2"/>
  </r>
  <r>
    <x v="14"/>
    <x v="1"/>
    <x v="14"/>
    <x v="8"/>
    <x v="1"/>
    <x v="2"/>
    <n v="10536"/>
    <n v="6800"/>
    <n v="151"/>
    <n v="35"/>
    <n v="32"/>
    <n v="3.2058823529411765E-2"/>
  </r>
  <r>
    <x v="15"/>
    <x v="4"/>
    <x v="15"/>
    <x v="10"/>
    <x v="0"/>
    <x v="0"/>
    <n v="18688"/>
    <n v="11271"/>
    <n v="652"/>
    <n v="106"/>
    <n v="143"/>
    <n v="7.9939668174962286E-2"/>
  </r>
  <r>
    <x v="16"/>
    <x v="0"/>
    <x v="16"/>
    <x v="5"/>
    <x v="1"/>
    <x v="4"/>
    <n v="21204"/>
    <n v="13712"/>
    <n v="177"/>
    <n v="179"/>
    <n v="269"/>
    <n v="4.5580513418903151E-2"/>
  </r>
  <r>
    <x v="17"/>
    <x v="1"/>
    <x v="17"/>
    <x v="8"/>
    <x v="0"/>
    <x v="1"/>
    <n v="28864"/>
    <n v="14737"/>
    <n v="703"/>
    <n v="146"/>
    <n v="68"/>
    <n v="6.222433331071453E-2"/>
  </r>
  <r>
    <x v="18"/>
    <x v="1"/>
    <x v="18"/>
    <x v="6"/>
    <x v="1"/>
    <x v="1"/>
    <n v="46840"/>
    <n v="31199"/>
    <n v="1992"/>
    <n v="297"/>
    <n v="285"/>
    <n v="8.2502644315522927E-2"/>
  </r>
  <r>
    <x v="19"/>
    <x v="0"/>
    <x v="19"/>
    <x v="7"/>
    <x v="0"/>
    <x v="0"/>
    <n v="1778"/>
    <n v="615"/>
    <n v="27"/>
    <n v="6"/>
    <n v="9"/>
    <n v="6.8292682926829273E-2"/>
  </r>
  <r>
    <x v="20"/>
    <x v="3"/>
    <x v="20"/>
    <x v="4"/>
    <x v="0"/>
    <x v="3"/>
    <n v="156565"/>
    <n v="91504"/>
    <n v="7976"/>
    <n v="1007"/>
    <n v="2374"/>
    <n v="0.12411479279594334"/>
  </r>
  <r>
    <x v="21"/>
    <x v="0"/>
    <x v="21"/>
    <x v="6"/>
    <x v="1"/>
    <x v="4"/>
    <n v="24262"/>
    <n v="14375"/>
    <n v="505"/>
    <n v="155"/>
    <n v="275"/>
    <n v="6.5043478260869564E-2"/>
  </r>
  <r>
    <x v="22"/>
    <x v="4"/>
    <x v="22"/>
    <x v="11"/>
    <x v="0"/>
    <x v="0"/>
    <n v="6057"/>
    <n v="4215"/>
    <n v="74"/>
    <n v="65"/>
    <n v="43"/>
    <n v="4.3179122182680899E-2"/>
  </r>
  <r>
    <x v="23"/>
    <x v="0"/>
    <x v="23"/>
    <x v="11"/>
    <x v="0"/>
    <x v="0"/>
    <n v="28124"/>
    <n v="17131"/>
    <n v="645"/>
    <n v="158"/>
    <n v="506"/>
    <n v="7.6411184402545088E-2"/>
  </r>
  <r>
    <x v="24"/>
    <x v="4"/>
    <x v="24"/>
    <x v="1"/>
    <x v="1"/>
    <x v="1"/>
    <n v="17059"/>
    <n v="11269"/>
    <n v="423"/>
    <n v="68"/>
    <n v="34"/>
    <n v="4.6587984736888813E-2"/>
  </r>
  <r>
    <x v="25"/>
    <x v="2"/>
    <x v="25"/>
    <x v="8"/>
    <x v="0"/>
    <x v="0"/>
    <n v="5218"/>
    <n v="3851"/>
    <n v="42"/>
    <n v="14"/>
    <n v="46"/>
    <n v="2.6486626850168789E-2"/>
  </r>
  <r>
    <x v="26"/>
    <x v="3"/>
    <x v="26"/>
    <x v="0"/>
    <x v="1"/>
    <x v="3"/>
    <n v="343265"/>
    <n v="129653"/>
    <n v="5453"/>
    <n v="924"/>
    <n v="4580"/>
    <n v="8.4510192590992878E-2"/>
  </r>
  <r>
    <x v="27"/>
    <x v="3"/>
    <x v="26"/>
    <x v="0"/>
    <x v="1"/>
    <x v="2"/>
    <n v="272700"/>
    <n v="129585"/>
    <n v="15140"/>
    <n v="1162"/>
    <n v="5661"/>
    <n v="0.16948720916772775"/>
  </r>
  <r>
    <x v="28"/>
    <x v="1"/>
    <x v="27"/>
    <x v="7"/>
    <x v="0"/>
    <x v="1"/>
    <n v="3041"/>
    <n v="1504"/>
    <n v="44"/>
    <n v="5"/>
    <n v="5"/>
    <n v="3.5904255319148939E-2"/>
  </r>
  <r>
    <x v="29"/>
    <x v="3"/>
    <x v="28"/>
    <x v="11"/>
    <x v="1"/>
    <x v="2"/>
    <n v="458030"/>
    <n v="177152"/>
    <n v="5638"/>
    <n v="1481"/>
    <n v="8257"/>
    <n v="8.6795520231213869E-2"/>
  </r>
  <r>
    <x v="30"/>
    <x v="1"/>
    <x v="29"/>
    <x v="8"/>
    <x v="0"/>
    <x v="1"/>
    <n v="35777"/>
    <n v="21884"/>
    <n v="534"/>
    <n v="93"/>
    <n v="46"/>
    <n v="3.0753061597514165E-2"/>
  </r>
  <r>
    <x v="31"/>
    <x v="0"/>
    <x v="30"/>
    <x v="7"/>
    <x v="0"/>
    <x v="0"/>
    <n v="15233"/>
    <n v="10461"/>
    <n v="106"/>
    <n v="82"/>
    <n v="289"/>
    <n v="4.5597935187840548E-2"/>
  </r>
  <r>
    <x v="32"/>
    <x v="0"/>
    <x v="31"/>
    <x v="11"/>
    <x v="1"/>
    <x v="2"/>
    <n v="47861"/>
    <n v="33077"/>
    <n v="457"/>
    <n v="612"/>
    <n v="666"/>
    <n v="5.2453366387520031E-2"/>
  </r>
  <r>
    <x v="33"/>
    <x v="4"/>
    <x v="32"/>
    <x v="10"/>
    <x v="1"/>
    <x v="2"/>
    <n v="31340"/>
    <n v="20034"/>
    <n v="370"/>
    <n v="402"/>
    <n v="184"/>
    <n v="4.7718877907557154E-2"/>
  </r>
  <r>
    <x v="34"/>
    <x v="1"/>
    <x v="15"/>
    <x v="10"/>
    <x v="0"/>
    <x v="1"/>
    <n v="39118"/>
    <n v="25411"/>
    <n v="830"/>
    <n v="287"/>
    <n v="240"/>
    <n v="5.3402069969698165E-2"/>
  </r>
  <r>
    <x v="35"/>
    <x v="3"/>
    <x v="33"/>
    <x v="4"/>
    <x v="0"/>
    <x v="3"/>
    <n v="24021"/>
    <n v="8915"/>
    <n v="1051"/>
    <n v="243"/>
    <n v="176"/>
    <n v="0.16489063376332025"/>
  </r>
  <r>
    <x v="36"/>
    <x v="3"/>
    <x v="34"/>
    <x v="2"/>
    <x v="0"/>
    <x v="3"/>
    <n v="366792"/>
    <n v="130891"/>
    <n v="14527"/>
    <n v="2483"/>
    <n v="3148"/>
    <n v="0.15400600499652384"/>
  </r>
  <r>
    <x v="37"/>
    <x v="3"/>
    <x v="35"/>
    <x v="8"/>
    <x v="1"/>
    <x v="2"/>
    <n v="326182"/>
    <n v="168420"/>
    <n v="17736"/>
    <n v="4345"/>
    <n v="7499"/>
    <n v="0.17563234770217315"/>
  </r>
  <r>
    <x v="38"/>
    <x v="4"/>
    <x v="36"/>
    <x v="5"/>
    <x v="0"/>
    <x v="4"/>
    <n v="735"/>
    <n v="520"/>
    <n v="21"/>
    <n v="3"/>
    <n v="6"/>
    <n v="5.7692307692307696E-2"/>
  </r>
  <r>
    <x v="39"/>
    <x v="3"/>
    <x v="37"/>
    <x v="9"/>
    <x v="0"/>
    <x v="3"/>
    <n v="397172"/>
    <n v="241369"/>
    <n v="19478"/>
    <n v="5480"/>
    <n v="7454"/>
    <n v="0.13428402156034952"/>
  </r>
  <r>
    <x v="40"/>
    <x v="2"/>
    <x v="38"/>
    <x v="0"/>
    <x v="0"/>
    <x v="0"/>
    <n v="22792"/>
    <n v="13157"/>
    <n v="279"/>
    <n v="61"/>
    <n v="86"/>
    <n v="3.2378201717716805E-2"/>
  </r>
  <r>
    <x v="41"/>
    <x v="0"/>
    <x v="39"/>
    <x v="11"/>
    <x v="0"/>
    <x v="1"/>
    <n v="22661"/>
    <n v="9101"/>
    <n v="303"/>
    <n v="110"/>
    <n v="175"/>
    <n v="6.460828480386771E-2"/>
  </r>
  <r>
    <x v="42"/>
    <x v="0"/>
    <x v="40"/>
    <x v="11"/>
    <x v="0"/>
    <x v="2"/>
    <n v="55310"/>
    <n v="30993"/>
    <n v="966"/>
    <n v="175"/>
    <n v="514"/>
    <n v="5.3399154647823702E-2"/>
  </r>
  <r>
    <x v="43"/>
    <x v="1"/>
    <x v="41"/>
    <x v="9"/>
    <x v="0"/>
    <x v="2"/>
    <n v="105049"/>
    <n v="62960"/>
    <n v="3277"/>
    <n v="753"/>
    <n v="200"/>
    <n v="6.7185514612452354E-2"/>
  </r>
  <r>
    <x v="44"/>
    <x v="1"/>
    <x v="42"/>
    <x v="7"/>
    <x v="0"/>
    <x v="2"/>
    <n v="29553"/>
    <n v="16717"/>
    <n v="1298"/>
    <n v="96"/>
    <n v="129"/>
    <n v="9.1104863312795353E-2"/>
  </r>
  <r>
    <x v="45"/>
    <x v="2"/>
    <x v="43"/>
    <x v="1"/>
    <x v="1"/>
    <x v="2"/>
    <n v="58726"/>
    <n v="49490"/>
    <n v="634"/>
    <n v="70"/>
    <n v="706"/>
    <n v="2.8490604162457061E-2"/>
  </r>
  <r>
    <x v="46"/>
    <x v="3"/>
    <x v="44"/>
    <x v="11"/>
    <x v="0"/>
    <x v="3"/>
    <n v="117780"/>
    <n v="53877"/>
    <n v="4497"/>
    <n v="412"/>
    <n v="1324"/>
    <n v="0.11568944076321992"/>
  </r>
  <r>
    <x v="47"/>
    <x v="3"/>
    <x v="45"/>
    <x v="10"/>
    <x v="1"/>
    <x v="3"/>
    <n v="457636"/>
    <n v="222209"/>
    <n v="17827"/>
    <n v="2665"/>
    <n v="9391"/>
    <n v="0.13448150164934813"/>
  </r>
  <r>
    <x v="48"/>
    <x v="2"/>
    <x v="46"/>
    <x v="8"/>
    <x v="0"/>
    <x v="1"/>
    <n v="13316"/>
    <n v="10584"/>
    <n v="223"/>
    <n v="53"/>
    <n v="99"/>
    <n v="3.5430839002267574E-2"/>
  </r>
  <r>
    <x v="49"/>
    <x v="4"/>
    <x v="47"/>
    <x v="1"/>
    <x v="0"/>
    <x v="1"/>
    <n v="8646"/>
    <n v="6027"/>
    <n v="352"/>
    <n v="138"/>
    <n v="88"/>
    <n v="9.5901775344284054E-2"/>
  </r>
  <r>
    <x v="50"/>
    <x v="1"/>
    <x v="48"/>
    <x v="7"/>
    <x v="0"/>
    <x v="1"/>
    <n v="13675"/>
    <n v="7920"/>
    <n v="168"/>
    <n v="41"/>
    <n v="8"/>
    <n v="2.7398989898989898E-2"/>
  </r>
  <r>
    <x v="51"/>
    <x v="2"/>
    <x v="49"/>
    <x v="3"/>
    <x v="1"/>
    <x v="2"/>
    <n v="48287"/>
    <n v="41966"/>
    <n v="528"/>
    <n v="282"/>
    <n v="724"/>
    <n v="3.6553400371729494E-2"/>
  </r>
  <r>
    <x v="52"/>
    <x v="1"/>
    <x v="50"/>
    <x v="5"/>
    <x v="0"/>
    <x v="3"/>
    <n v="117992"/>
    <n v="57025"/>
    <n v="2223"/>
    <n v="246"/>
    <n v="506"/>
    <n v="5.2170100832967997E-2"/>
  </r>
  <r>
    <x v="53"/>
    <x v="3"/>
    <x v="30"/>
    <x v="7"/>
    <x v="0"/>
    <x v="3"/>
    <n v="506642"/>
    <n v="174546"/>
    <n v="6615"/>
    <n v="4959"/>
    <n v="4706"/>
    <n v="9.3270541862890008E-2"/>
  </r>
  <r>
    <x v="54"/>
    <x v="1"/>
    <x v="51"/>
    <x v="6"/>
    <x v="1"/>
    <x v="4"/>
    <n v="69218"/>
    <n v="32641"/>
    <n v="2526"/>
    <n v="238"/>
    <n v="142"/>
    <n v="8.9029135136791157E-2"/>
  </r>
  <r>
    <x v="55"/>
    <x v="4"/>
    <x v="52"/>
    <x v="2"/>
    <x v="0"/>
    <x v="4"/>
    <n v="14531"/>
    <n v="8760"/>
    <n v="299"/>
    <n v="123"/>
    <n v="119"/>
    <n v="6.1757990867579909E-2"/>
  </r>
  <r>
    <x v="56"/>
    <x v="1"/>
    <x v="53"/>
    <x v="8"/>
    <x v="0"/>
    <x v="3"/>
    <n v="8393"/>
    <n v="4428"/>
    <n v="318"/>
    <n v="23"/>
    <n v="9"/>
    <n v="7.9042457091237583E-2"/>
  </r>
  <r>
    <x v="57"/>
    <x v="1"/>
    <x v="54"/>
    <x v="0"/>
    <x v="1"/>
    <x v="4"/>
    <n v="77758"/>
    <n v="53039"/>
    <n v="4006"/>
    <n v="345"/>
    <n v="272"/>
    <n v="8.7162276815173745E-2"/>
  </r>
  <r>
    <x v="58"/>
    <x v="2"/>
    <x v="55"/>
    <x v="10"/>
    <x v="0"/>
    <x v="0"/>
    <n v="5028"/>
    <n v="3861"/>
    <n v="103"/>
    <n v="29"/>
    <n v="12"/>
    <n v="3.7296037296037296E-2"/>
  </r>
  <r>
    <x v="59"/>
    <x v="3"/>
    <x v="56"/>
    <x v="1"/>
    <x v="0"/>
    <x v="2"/>
    <n v="168937"/>
    <n v="114463"/>
    <n v="9826"/>
    <n v="1326"/>
    <n v="4902"/>
    <n v="0.14025492954055022"/>
  </r>
  <r>
    <x v="60"/>
    <x v="1"/>
    <x v="57"/>
    <x v="3"/>
    <x v="0"/>
    <x v="2"/>
    <n v="93930"/>
    <n v="59514"/>
    <n v="3659"/>
    <n v="610"/>
    <n v="342"/>
    <n v="7.7477568303256375E-2"/>
  </r>
  <r>
    <x v="61"/>
    <x v="1"/>
    <x v="58"/>
    <x v="9"/>
    <x v="0"/>
    <x v="4"/>
    <n v="5838"/>
    <n v="4002"/>
    <n v="204"/>
    <n v="10"/>
    <n v="26"/>
    <n v="5.9970014992503748E-2"/>
  </r>
  <r>
    <x v="62"/>
    <x v="1"/>
    <x v="59"/>
    <x v="7"/>
    <x v="1"/>
    <x v="4"/>
    <n v="37520"/>
    <n v="22934"/>
    <n v="1461"/>
    <n v="213"/>
    <n v="55"/>
    <n v="7.5390250283422E-2"/>
  </r>
  <r>
    <x v="63"/>
    <x v="3"/>
    <x v="60"/>
    <x v="5"/>
    <x v="1"/>
    <x v="3"/>
    <n v="71516"/>
    <n v="27664"/>
    <n v="3172"/>
    <n v="660"/>
    <n v="436"/>
    <n v="0.15427993059572007"/>
  </r>
  <r>
    <x v="64"/>
    <x v="3"/>
    <x v="61"/>
    <x v="2"/>
    <x v="0"/>
    <x v="2"/>
    <n v="299132"/>
    <n v="161505"/>
    <n v="7593"/>
    <n v="4816"/>
    <n v="6033"/>
    <n v="0.11418841521934306"/>
  </r>
  <r>
    <x v="65"/>
    <x v="2"/>
    <x v="62"/>
    <x v="11"/>
    <x v="0"/>
    <x v="0"/>
    <n v="8127"/>
    <n v="5127"/>
    <n v="50"/>
    <n v="10"/>
    <n v="43"/>
    <n v="2.0089721084454847E-2"/>
  </r>
  <r>
    <x v="66"/>
    <x v="3"/>
    <x v="63"/>
    <x v="7"/>
    <x v="1"/>
    <x v="2"/>
    <n v="407702"/>
    <n v="147642"/>
    <n v="12661"/>
    <n v="1316"/>
    <n v="6009"/>
    <n v="0.13536798471979519"/>
  </r>
  <r>
    <x v="67"/>
    <x v="3"/>
    <x v="64"/>
    <x v="0"/>
    <x v="0"/>
    <x v="3"/>
    <n v="535523"/>
    <n v="341530"/>
    <n v="38740"/>
    <n v="3884"/>
    <n v="4175"/>
    <n v="0.13702749392439903"/>
  </r>
  <r>
    <x v="68"/>
    <x v="4"/>
    <x v="65"/>
    <x v="4"/>
    <x v="0"/>
    <x v="2"/>
    <n v="15843"/>
    <n v="11545"/>
    <n v="269"/>
    <n v="263"/>
    <n v="53"/>
    <n v="5.0671286271113038E-2"/>
  </r>
  <r>
    <x v="69"/>
    <x v="2"/>
    <x v="66"/>
    <x v="7"/>
    <x v="0"/>
    <x v="1"/>
    <n v="11965"/>
    <n v="10699"/>
    <n v="275"/>
    <n v="46"/>
    <n v="197"/>
    <n v="4.8415739788765302E-2"/>
  </r>
  <r>
    <x v="70"/>
    <x v="4"/>
    <x v="67"/>
    <x v="4"/>
    <x v="0"/>
    <x v="0"/>
    <n v="11571"/>
    <n v="6047"/>
    <n v="288"/>
    <n v="49"/>
    <n v="37"/>
    <n v="6.1848850669753597E-2"/>
  </r>
  <r>
    <x v="71"/>
    <x v="0"/>
    <x v="68"/>
    <x v="11"/>
    <x v="1"/>
    <x v="2"/>
    <n v="15181"/>
    <n v="6189"/>
    <n v="90"/>
    <n v="103"/>
    <n v="156"/>
    <n v="5.6390370011310392E-2"/>
  </r>
  <r>
    <x v="72"/>
    <x v="0"/>
    <x v="8"/>
    <x v="0"/>
    <x v="1"/>
    <x v="4"/>
    <n v="5673"/>
    <n v="3035"/>
    <n v="54"/>
    <n v="12"/>
    <n v="27"/>
    <n v="3.0642504118616146E-2"/>
  </r>
  <r>
    <x v="73"/>
    <x v="3"/>
    <x v="69"/>
    <x v="8"/>
    <x v="1"/>
    <x v="3"/>
    <n v="262599"/>
    <n v="95367"/>
    <n v="6417"/>
    <n v="2040"/>
    <n v="4153"/>
    <n v="0.13222603206559921"/>
  </r>
  <r>
    <x v="74"/>
    <x v="2"/>
    <x v="70"/>
    <x v="8"/>
    <x v="1"/>
    <x v="1"/>
    <n v="12143"/>
    <n v="9572"/>
    <n v="258"/>
    <n v="64"/>
    <n v="64"/>
    <n v="4.0325950689511073E-2"/>
  </r>
  <r>
    <x v="75"/>
    <x v="3"/>
    <x v="71"/>
    <x v="8"/>
    <x v="1"/>
    <x v="3"/>
    <n v="358986"/>
    <n v="121792"/>
    <n v="12616"/>
    <n v="1536"/>
    <n v="3892"/>
    <n v="0.14815423016290069"/>
  </r>
  <r>
    <x v="76"/>
    <x v="0"/>
    <x v="72"/>
    <x v="4"/>
    <x v="1"/>
    <x v="1"/>
    <n v="12649"/>
    <n v="4990"/>
    <n v="212"/>
    <n v="24"/>
    <n v="37"/>
    <n v="5.4709418837675348E-2"/>
  </r>
  <r>
    <x v="77"/>
    <x v="1"/>
    <x v="73"/>
    <x v="4"/>
    <x v="0"/>
    <x v="3"/>
    <n v="92618"/>
    <n v="58170"/>
    <n v="4526"/>
    <n v="868"/>
    <n v="347"/>
    <n v="9.869348461406223E-2"/>
  </r>
  <r>
    <x v="78"/>
    <x v="2"/>
    <x v="74"/>
    <x v="3"/>
    <x v="1"/>
    <x v="2"/>
    <n v="49374"/>
    <n v="41354"/>
    <n v="251"/>
    <n v="250"/>
    <n v="595"/>
    <n v="2.6502877593461333E-2"/>
  </r>
  <r>
    <x v="79"/>
    <x v="4"/>
    <x v="75"/>
    <x v="0"/>
    <x v="0"/>
    <x v="2"/>
    <n v="36161"/>
    <n v="22731"/>
    <n v="1346"/>
    <n v="473"/>
    <n v="253"/>
    <n v="9.1153050899652463E-2"/>
  </r>
  <r>
    <x v="80"/>
    <x v="2"/>
    <x v="76"/>
    <x v="0"/>
    <x v="1"/>
    <x v="2"/>
    <n v="70967"/>
    <n v="61447"/>
    <n v="1623"/>
    <n v="138"/>
    <n v="1036"/>
    <n v="4.5518902468794246E-2"/>
  </r>
  <r>
    <x v="81"/>
    <x v="0"/>
    <x v="77"/>
    <x v="5"/>
    <x v="0"/>
    <x v="1"/>
    <n v="21460"/>
    <n v="12765"/>
    <n v="573"/>
    <n v="242"/>
    <n v="64"/>
    <n v="6.8860164512338423E-2"/>
  </r>
  <r>
    <x v="82"/>
    <x v="0"/>
    <x v="41"/>
    <x v="9"/>
    <x v="0"/>
    <x v="2"/>
    <n v="50767"/>
    <n v="17586"/>
    <n v="337"/>
    <n v="281"/>
    <n v="435"/>
    <n v="5.9877175025588536E-2"/>
  </r>
  <r>
    <x v="83"/>
    <x v="4"/>
    <x v="78"/>
    <x v="6"/>
    <x v="1"/>
    <x v="4"/>
    <n v="9624"/>
    <n v="6496"/>
    <n v="165"/>
    <n v="56"/>
    <n v="58"/>
    <n v="4.2949507389162561E-2"/>
  </r>
  <r>
    <x v="84"/>
    <x v="2"/>
    <x v="79"/>
    <x v="10"/>
    <x v="1"/>
    <x v="2"/>
    <n v="50240"/>
    <n v="38491"/>
    <n v="836"/>
    <n v="168"/>
    <n v="463"/>
    <n v="3.8112805590917356E-2"/>
  </r>
  <r>
    <x v="85"/>
    <x v="1"/>
    <x v="80"/>
    <x v="3"/>
    <x v="1"/>
    <x v="1"/>
    <n v="17356"/>
    <n v="10644"/>
    <n v="477"/>
    <n v="126"/>
    <n v="65"/>
    <n v="6.2758361518226224E-2"/>
  </r>
  <r>
    <x v="86"/>
    <x v="4"/>
    <x v="81"/>
    <x v="6"/>
    <x v="1"/>
    <x v="0"/>
    <n v="5440"/>
    <n v="4035"/>
    <n v="103"/>
    <n v="98"/>
    <n v="34"/>
    <n v="5.8240396530359353E-2"/>
  </r>
  <r>
    <x v="87"/>
    <x v="1"/>
    <x v="82"/>
    <x v="5"/>
    <x v="1"/>
    <x v="4"/>
    <n v="68920"/>
    <n v="34748"/>
    <n v="2339"/>
    <n v="434"/>
    <n v="36"/>
    <n v="8.0839184989064117E-2"/>
  </r>
  <r>
    <x v="88"/>
    <x v="4"/>
    <x v="83"/>
    <x v="6"/>
    <x v="1"/>
    <x v="0"/>
    <n v="19972"/>
    <n v="13031"/>
    <n v="383"/>
    <n v="276"/>
    <n v="135"/>
    <n v="6.0931624587522062E-2"/>
  </r>
  <r>
    <x v="89"/>
    <x v="3"/>
    <x v="84"/>
    <x v="2"/>
    <x v="1"/>
    <x v="2"/>
    <n v="108139"/>
    <n v="43173"/>
    <n v="3561"/>
    <n v="848"/>
    <n v="1411"/>
    <n v="0.1348064762698909"/>
  </r>
  <r>
    <x v="90"/>
    <x v="2"/>
    <x v="85"/>
    <x v="1"/>
    <x v="1"/>
    <x v="1"/>
    <n v="22108"/>
    <n v="18514"/>
    <n v="138"/>
    <n v="80"/>
    <n v="329"/>
    <n v="2.9545209031003564E-2"/>
  </r>
  <r>
    <x v="91"/>
    <x v="0"/>
    <x v="86"/>
    <x v="3"/>
    <x v="1"/>
    <x v="0"/>
    <n v="16372"/>
    <n v="9996"/>
    <n v="372"/>
    <n v="58"/>
    <n v="61"/>
    <n v="4.9119647859143654E-2"/>
  </r>
  <r>
    <x v="92"/>
    <x v="1"/>
    <x v="87"/>
    <x v="2"/>
    <x v="0"/>
    <x v="2"/>
    <n v="108397"/>
    <n v="45181"/>
    <n v="2296"/>
    <n v="626"/>
    <n v="421"/>
    <n v="7.3991279520152275E-2"/>
  </r>
  <r>
    <x v="93"/>
    <x v="4"/>
    <x v="88"/>
    <x v="8"/>
    <x v="1"/>
    <x v="1"/>
    <n v="16567"/>
    <n v="12618"/>
    <n v="349"/>
    <n v="104"/>
    <n v="139"/>
    <n v="4.6917102551909971E-2"/>
  </r>
  <r>
    <x v="94"/>
    <x v="3"/>
    <x v="35"/>
    <x v="8"/>
    <x v="1"/>
    <x v="3"/>
    <n v="96621"/>
    <n v="45052"/>
    <n v="4307"/>
    <n v="1057"/>
    <n v="849"/>
    <n v="0.13790730711178195"/>
  </r>
  <r>
    <x v="95"/>
    <x v="3"/>
    <x v="89"/>
    <x v="5"/>
    <x v="1"/>
    <x v="2"/>
    <n v="296961"/>
    <n v="112674"/>
    <n v="12300"/>
    <n v="3354"/>
    <n v="3770"/>
    <n v="0.17239114613841702"/>
  </r>
  <r>
    <x v="96"/>
    <x v="3"/>
    <x v="90"/>
    <x v="7"/>
    <x v="0"/>
    <x v="2"/>
    <n v="119866"/>
    <n v="69857"/>
    <n v="6445"/>
    <n v="892"/>
    <n v="919"/>
    <n v="0.11818429076542079"/>
  </r>
  <r>
    <x v="97"/>
    <x v="1"/>
    <x v="91"/>
    <x v="11"/>
    <x v="1"/>
    <x v="1"/>
    <n v="33648"/>
    <n v="13791"/>
    <n v="1062"/>
    <n v="30"/>
    <n v="110"/>
    <n v="8.7158291639475013E-2"/>
  </r>
  <r>
    <x v="98"/>
    <x v="1"/>
    <x v="92"/>
    <x v="10"/>
    <x v="1"/>
    <x v="2"/>
    <n v="77225"/>
    <n v="48408"/>
    <n v="1691"/>
    <n v="561"/>
    <n v="407"/>
    <n v="5.4928937365724677E-2"/>
  </r>
  <r>
    <x v="99"/>
    <x v="2"/>
    <x v="93"/>
    <x v="0"/>
    <x v="1"/>
    <x v="1"/>
    <n v="730"/>
    <n v="373"/>
    <n v="10"/>
    <n v="1"/>
    <n v="6"/>
    <n v="4.5576407506702415E-2"/>
  </r>
  <r>
    <x v="100"/>
    <x v="3"/>
    <x v="71"/>
    <x v="8"/>
    <x v="1"/>
    <x v="2"/>
    <n v="302206"/>
    <n v="106795"/>
    <n v="4379"/>
    <n v="816"/>
    <n v="3171"/>
    <n v="7.8337000795917405E-2"/>
  </r>
  <r>
    <x v="101"/>
    <x v="3"/>
    <x v="94"/>
    <x v="4"/>
    <x v="0"/>
    <x v="2"/>
    <n v="543651"/>
    <n v="205850"/>
    <n v="6711"/>
    <n v="4743"/>
    <n v="10070"/>
    <n v="0.10456157396162254"/>
  </r>
  <r>
    <x v="102"/>
    <x v="4"/>
    <x v="95"/>
    <x v="3"/>
    <x v="0"/>
    <x v="1"/>
    <n v="11879"/>
    <n v="5122"/>
    <n v="249"/>
    <n v="90"/>
    <n v="30"/>
    <n v="7.2042171026942603E-2"/>
  </r>
  <r>
    <x v="103"/>
    <x v="1"/>
    <x v="96"/>
    <x v="10"/>
    <x v="0"/>
    <x v="2"/>
    <n v="42983"/>
    <n v="19797"/>
    <n v="673"/>
    <n v="154"/>
    <n v="68"/>
    <n v="4.5208870030812746E-2"/>
  </r>
  <r>
    <x v="104"/>
    <x v="4"/>
    <x v="97"/>
    <x v="7"/>
    <x v="0"/>
    <x v="2"/>
    <n v="5423"/>
    <n v="3771"/>
    <n v="221"/>
    <n v="71"/>
    <n v="53"/>
    <n v="9.148766905330151E-2"/>
  </r>
  <r>
    <x v="105"/>
    <x v="1"/>
    <x v="98"/>
    <x v="9"/>
    <x v="1"/>
    <x v="1"/>
    <n v="27596"/>
    <n v="16651"/>
    <n v="1185"/>
    <n v="71"/>
    <n v="90"/>
    <n v="8.0835985826677073E-2"/>
  </r>
  <r>
    <x v="106"/>
    <x v="3"/>
    <x v="99"/>
    <x v="10"/>
    <x v="1"/>
    <x v="2"/>
    <n v="175808"/>
    <n v="61551"/>
    <n v="3980"/>
    <n v="950"/>
    <n v="2381"/>
    <n v="0.11877954866695911"/>
  </r>
  <r>
    <x v="107"/>
    <x v="1"/>
    <x v="100"/>
    <x v="0"/>
    <x v="0"/>
    <x v="3"/>
    <n v="49085"/>
    <n v="21307"/>
    <n v="817"/>
    <n v="259"/>
    <n v="178"/>
    <n v="5.885389778007228E-2"/>
  </r>
  <r>
    <x v="108"/>
    <x v="1"/>
    <x v="101"/>
    <x v="8"/>
    <x v="0"/>
    <x v="2"/>
    <n v="32982"/>
    <n v="18147"/>
    <n v="1001"/>
    <n v="187"/>
    <n v="159"/>
    <n v="7.4227144982641755E-2"/>
  </r>
  <r>
    <x v="109"/>
    <x v="1"/>
    <x v="81"/>
    <x v="6"/>
    <x v="1"/>
    <x v="3"/>
    <n v="36143"/>
    <n v="17997"/>
    <n v="645"/>
    <n v="44"/>
    <n v="131"/>
    <n v="4.5563149413791186E-2"/>
  </r>
  <r>
    <x v="110"/>
    <x v="0"/>
    <x v="102"/>
    <x v="4"/>
    <x v="0"/>
    <x v="4"/>
    <n v="26260"/>
    <n v="17369"/>
    <n v="250"/>
    <n v="343"/>
    <n v="159"/>
    <n v="4.3295526512752605E-2"/>
  </r>
  <r>
    <x v="111"/>
    <x v="3"/>
    <x v="46"/>
    <x v="8"/>
    <x v="0"/>
    <x v="3"/>
    <n v="380871"/>
    <n v="249854"/>
    <n v="26712"/>
    <n v="4443"/>
    <n v="10913"/>
    <n v="0.16837032827171067"/>
  </r>
  <r>
    <x v="112"/>
    <x v="0"/>
    <x v="103"/>
    <x v="2"/>
    <x v="0"/>
    <x v="0"/>
    <n v="8059"/>
    <n v="5232"/>
    <n v="140"/>
    <n v="62"/>
    <n v="132"/>
    <n v="6.3837920489296637E-2"/>
  </r>
  <r>
    <x v="113"/>
    <x v="2"/>
    <x v="104"/>
    <x v="2"/>
    <x v="1"/>
    <x v="0"/>
    <n v="5867"/>
    <n v="4500"/>
    <n v="57"/>
    <n v="11"/>
    <n v="73"/>
    <n v="3.1333333333333331E-2"/>
  </r>
  <r>
    <x v="114"/>
    <x v="3"/>
    <x v="105"/>
    <x v="0"/>
    <x v="0"/>
    <x v="3"/>
    <n v="257439"/>
    <n v="156287"/>
    <n v="17587"/>
    <n v="3960"/>
    <n v="1772"/>
    <n v="0.14920626795574807"/>
  </r>
  <r>
    <x v="115"/>
    <x v="3"/>
    <x v="106"/>
    <x v="5"/>
    <x v="1"/>
    <x v="3"/>
    <n v="280763"/>
    <n v="124724"/>
    <n v="6383"/>
    <n v="1762"/>
    <n v="3138"/>
    <n v="9.0463743946634173E-2"/>
  </r>
  <r>
    <x v="116"/>
    <x v="2"/>
    <x v="107"/>
    <x v="8"/>
    <x v="0"/>
    <x v="2"/>
    <n v="29237"/>
    <n v="21836"/>
    <n v="581"/>
    <n v="110"/>
    <n v="190"/>
    <n v="4.0346217255907674E-2"/>
  </r>
  <r>
    <x v="117"/>
    <x v="0"/>
    <x v="93"/>
    <x v="0"/>
    <x v="1"/>
    <x v="0"/>
    <n v="7249"/>
    <n v="4321"/>
    <n v="145"/>
    <n v="56"/>
    <n v="95"/>
    <n v="6.8502661420967365E-2"/>
  </r>
  <r>
    <x v="118"/>
    <x v="4"/>
    <x v="108"/>
    <x v="3"/>
    <x v="1"/>
    <x v="4"/>
    <n v="424"/>
    <n v="266"/>
    <n v="11"/>
    <n v="2"/>
    <n v="3"/>
    <n v="6.0150375939849621E-2"/>
  </r>
  <r>
    <x v="119"/>
    <x v="3"/>
    <x v="109"/>
    <x v="9"/>
    <x v="0"/>
    <x v="2"/>
    <n v="291125"/>
    <n v="91396"/>
    <n v="4316"/>
    <n v="1826"/>
    <n v="1395"/>
    <n v="8.2465315768742609E-2"/>
  </r>
  <r>
    <x v="120"/>
    <x v="0"/>
    <x v="110"/>
    <x v="5"/>
    <x v="1"/>
    <x v="1"/>
    <n v="21641"/>
    <n v="12865"/>
    <n v="370"/>
    <n v="188"/>
    <n v="233"/>
    <n v="6.148464827050136E-2"/>
  </r>
  <r>
    <x v="121"/>
    <x v="0"/>
    <x v="111"/>
    <x v="10"/>
    <x v="1"/>
    <x v="0"/>
    <n v="20634"/>
    <n v="13640"/>
    <n v="631"/>
    <n v="183"/>
    <n v="195"/>
    <n v="7.3973607038123168E-2"/>
  </r>
  <r>
    <x v="122"/>
    <x v="3"/>
    <x v="112"/>
    <x v="6"/>
    <x v="1"/>
    <x v="3"/>
    <n v="75797"/>
    <n v="46050"/>
    <n v="5250"/>
    <n v="887"/>
    <n v="628"/>
    <n v="0.14690553745928339"/>
  </r>
  <r>
    <x v="123"/>
    <x v="1"/>
    <x v="91"/>
    <x v="11"/>
    <x v="1"/>
    <x v="4"/>
    <n v="68263"/>
    <n v="30619"/>
    <n v="1958"/>
    <n v="353"/>
    <n v="216"/>
    <n v="8.2530454946275186E-2"/>
  </r>
  <r>
    <x v="124"/>
    <x v="2"/>
    <x v="89"/>
    <x v="5"/>
    <x v="1"/>
    <x v="1"/>
    <n v="11209"/>
    <n v="9067"/>
    <n v="126"/>
    <n v="19"/>
    <n v="107"/>
    <n v="2.779309584206463E-2"/>
  </r>
  <r>
    <x v="125"/>
    <x v="3"/>
    <x v="111"/>
    <x v="10"/>
    <x v="1"/>
    <x v="2"/>
    <n v="23196"/>
    <n v="7460"/>
    <n v="333"/>
    <n v="134"/>
    <n v="295"/>
    <n v="0.10214477211796247"/>
  </r>
  <r>
    <x v="126"/>
    <x v="1"/>
    <x v="13"/>
    <x v="10"/>
    <x v="1"/>
    <x v="3"/>
    <n v="94201"/>
    <n v="59848"/>
    <n v="4419"/>
    <n v="348"/>
    <n v="219"/>
    <n v="8.3311054671835319E-2"/>
  </r>
  <r>
    <x v="127"/>
    <x v="3"/>
    <x v="113"/>
    <x v="6"/>
    <x v="0"/>
    <x v="2"/>
    <n v="367485"/>
    <n v="118114"/>
    <n v="13007"/>
    <n v="2010"/>
    <n v="5699"/>
    <n v="0.17538987757590124"/>
  </r>
  <r>
    <x v="128"/>
    <x v="0"/>
    <x v="114"/>
    <x v="3"/>
    <x v="1"/>
    <x v="2"/>
    <n v="29086"/>
    <n v="14164"/>
    <n v="381"/>
    <n v="114"/>
    <n v="211"/>
    <n v="4.9844676645015532E-2"/>
  </r>
  <r>
    <x v="129"/>
    <x v="3"/>
    <x v="115"/>
    <x v="3"/>
    <x v="0"/>
    <x v="3"/>
    <n v="340086"/>
    <n v="198003"/>
    <n v="13799"/>
    <n v="1575"/>
    <n v="5883"/>
    <n v="0.10735695923799134"/>
  </r>
  <r>
    <x v="130"/>
    <x v="4"/>
    <x v="70"/>
    <x v="8"/>
    <x v="1"/>
    <x v="2"/>
    <n v="32142"/>
    <n v="17934"/>
    <n v="817"/>
    <n v="213"/>
    <n v="215"/>
    <n v="6.9421211107393771E-2"/>
  </r>
  <r>
    <x v="131"/>
    <x v="3"/>
    <x v="116"/>
    <x v="9"/>
    <x v="1"/>
    <x v="3"/>
    <n v="30650"/>
    <n v="14347"/>
    <n v="899"/>
    <n v="289"/>
    <n v="194"/>
    <n v="9.6326758207290725E-2"/>
  </r>
  <r>
    <x v="132"/>
    <x v="0"/>
    <x v="117"/>
    <x v="2"/>
    <x v="1"/>
    <x v="4"/>
    <n v="27037"/>
    <n v="9717"/>
    <n v="154"/>
    <n v="146"/>
    <n v="220"/>
    <n v="5.3514459195224864E-2"/>
  </r>
  <r>
    <x v="133"/>
    <x v="1"/>
    <x v="118"/>
    <x v="5"/>
    <x v="0"/>
    <x v="4"/>
    <n v="23100"/>
    <n v="10566"/>
    <n v="602"/>
    <n v="136"/>
    <n v="26"/>
    <n v="7.230740109786106E-2"/>
  </r>
  <r>
    <x v="134"/>
    <x v="1"/>
    <x v="119"/>
    <x v="10"/>
    <x v="1"/>
    <x v="3"/>
    <n v="16363"/>
    <n v="9124"/>
    <n v="429"/>
    <n v="91"/>
    <n v="81"/>
    <n v="6.5870232354230604E-2"/>
  </r>
  <r>
    <x v="135"/>
    <x v="3"/>
    <x v="120"/>
    <x v="10"/>
    <x v="0"/>
    <x v="2"/>
    <n v="93162"/>
    <n v="41278"/>
    <n v="2618"/>
    <n v="802"/>
    <n v="1648"/>
    <n v="0.12277726634042346"/>
  </r>
  <r>
    <x v="136"/>
    <x v="1"/>
    <x v="121"/>
    <x v="1"/>
    <x v="1"/>
    <x v="2"/>
    <n v="75048"/>
    <n v="35482"/>
    <n v="1561"/>
    <n v="466"/>
    <n v="297"/>
    <n v="6.5497998985401054E-2"/>
  </r>
  <r>
    <x v="137"/>
    <x v="1"/>
    <x v="122"/>
    <x v="3"/>
    <x v="0"/>
    <x v="4"/>
    <n v="44099"/>
    <n v="33605"/>
    <n v="2363"/>
    <n v="226"/>
    <n v="217"/>
    <n v="8.3499479244160096E-2"/>
  </r>
  <r>
    <x v="138"/>
    <x v="3"/>
    <x v="123"/>
    <x v="3"/>
    <x v="1"/>
    <x v="3"/>
    <n v="239851"/>
    <n v="124623"/>
    <n v="9500"/>
    <n v="1981"/>
    <n v="4114"/>
    <n v="0.12513741444195695"/>
  </r>
  <r>
    <x v="139"/>
    <x v="2"/>
    <x v="124"/>
    <x v="8"/>
    <x v="1"/>
    <x v="1"/>
    <n v="18718"/>
    <n v="16040"/>
    <n v="189"/>
    <n v="56"/>
    <n v="137"/>
    <n v="2.3815461346633416E-2"/>
  </r>
  <r>
    <x v="140"/>
    <x v="1"/>
    <x v="125"/>
    <x v="10"/>
    <x v="1"/>
    <x v="4"/>
    <n v="22710"/>
    <n v="16442"/>
    <n v="899"/>
    <n v="209"/>
    <n v="93"/>
    <n v="7.3044641771074073E-2"/>
  </r>
  <r>
    <x v="141"/>
    <x v="3"/>
    <x v="3"/>
    <x v="3"/>
    <x v="0"/>
    <x v="2"/>
    <n v="334929"/>
    <n v="222057"/>
    <n v="14562"/>
    <n v="6577"/>
    <n v="7722"/>
    <n v="0.12997113353778533"/>
  </r>
  <r>
    <x v="142"/>
    <x v="3"/>
    <x v="126"/>
    <x v="3"/>
    <x v="1"/>
    <x v="2"/>
    <n v="116642"/>
    <n v="66958"/>
    <n v="3056"/>
    <n v="1891"/>
    <n v="2501"/>
    <n v="0.1112339078228143"/>
  </r>
  <r>
    <x v="143"/>
    <x v="3"/>
    <x v="127"/>
    <x v="0"/>
    <x v="0"/>
    <x v="3"/>
    <n v="343312"/>
    <n v="126762"/>
    <n v="4561"/>
    <n v="2281"/>
    <n v="3281"/>
    <n v="7.9858317161294393E-2"/>
  </r>
  <r>
    <x v="144"/>
    <x v="2"/>
    <x v="128"/>
    <x v="7"/>
    <x v="0"/>
    <x v="0"/>
    <n v="15197"/>
    <n v="10245"/>
    <n v="111"/>
    <n v="65"/>
    <n v="105"/>
    <n v="2.7428013665202537E-2"/>
  </r>
  <r>
    <x v="145"/>
    <x v="3"/>
    <x v="129"/>
    <x v="4"/>
    <x v="0"/>
    <x v="2"/>
    <n v="293856"/>
    <n v="123520"/>
    <n v="6174"/>
    <n v="1311"/>
    <n v="1917"/>
    <n v="7.6117227979274615E-2"/>
  </r>
  <r>
    <x v="146"/>
    <x v="1"/>
    <x v="130"/>
    <x v="10"/>
    <x v="1"/>
    <x v="2"/>
    <n v="5511"/>
    <n v="2621"/>
    <n v="175"/>
    <n v="25"/>
    <n v="9"/>
    <n v="7.9740557039297971E-2"/>
  </r>
  <r>
    <x v="147"/>
    <x v="0"/>
    <x v="131"/>
    <x v="6"/>
    <x v="0"/>
    <x v="1"/>
    <n v="27066"/>
    <n v="18125"/>
    <n v="364"/>
    <n v="293"/>
    <n v="456"/>
    <n v="6.1406896551724141E-2"/>
  </r>
  <r>
    <x v="148"/>
    <x v="0"/>
    <x v="96"/>
    <x v="10"/>
    <x v="0"/>
    <x v="2"/>
    <n v="19890"/>
    <n v="12829"/>
    <n v="147"/>
    <n v="175"/>
    <n v="230"/>
    <n v="4.3027515784550628E-2"/>
  </r>
  <r>
    <x v="149"/>
    <x v="0"/>
    <x v="108"/>
    <x v="3"/>
    <x v="1"/>
    <x v="1"/>
    <n v="25081"/>
    <n v="8094"/>
    <n v="155"/>
    <n v="161"/>
    <n v="189"/>
    <n v="6.2391895231035333E-2"/>
  </r>
  <r>
    <x v="150"/>
    <x v="1"/>
    <x v="132"/>
    <x v="7"/>
    <x v="1"/>
    <x v="3"/>
    <n v="104239"/>
    <n v="49276"/>
    <n v="2773"/>
    <n v="500"/>
    <n v="483"/>
    <n v="7.6223719457748196E-2"/>
  </r>
  <r>
    <x v="151"/>
    <x v="3"/>
    <x v="111"/>
    <x v="10"/>
    <x v="1"/>
    <x v="3"/>
    <n v="384927"/>
    <n v="135945"/>
    <n v="7052"/>
    <n v="2759"/>
    <n v="4351"/>
    <n v="0.10417448232741182"/>
  </r>
  <r>
    <x v="152"/>
    <x v="0"/>
    <x v="23"/>
    <x v="11"/>
    <x v="0"/>
    <x v="2"/>
    <n v="20119"/>
    <n v="13193"/>
    <n v="271"/>
    <n v="254"/>
    <n v="155"/>
    <n v="5.1542484650951265E-2"/>
  </r>
  <r>
    <x v="153"/>
    <x v="4"/>
    <x v="133"/>
    <x v="6"/>
    <x v="0"/>
    <x v="0"/>
    <n v="3246"/>
    <n v="1680"/>
    <n v="39"/>
    <n v="16"/>
    <n v="14"/>
    <n v="4.1071428571428571E-2"/>
  </r>
  <r>
    <x v="154"/>
    <x v="3"/>
    <x v="134"/>
    <x v="7"/>
    <x v="1"/>
    <x v="3"/>
    <n v="30091"/>
    <n v="18661"/>
    <n v="1810"/>
    <n v="174"/>
    <n v="701"/>
    <n v="0.14388296447135737"/>
  </r>
  <r>
    <x v="155"/>
    <x v="4"/>
    <x v="135"/>
    <x v="8"/>
    <x v="0"/>
    <x v="0"/>
    <n v="11667"/>
    <n v="9170"/>
    <n v="448"/>
    <n v="211"/>
    <n v="67"/>
    <n v="7.9171210468920394E-2"/>
  </r>
  <r>
    <x v="156"/>
    <x v="3"/>
    <x v="136"/>
    <x v="2"/>
    <x v="0"/>
    <x v="2"/>
    <n v="194808"/>
    <n v="132787"/>
    <n v="13497"/>
    <n v="2076"/>
    <n v="2239"/>
    <n v="0.13413963716327654"/>
  </r>
  <r>
    <x v="157"/>
    <x v="3"/>
    <x v="137"/>
    <x v="6"/>
    <x v="0"/>
    <x v="2"/>
    <n v="408495"/>
    <n v="221297"/>
    <n v="8945"/>
    <n v="1490"/>
    <n v="6381"/>
    <n v="7.5988377610179986E-2"/>
  </r>
  <r>
    <x v="158"/>
    <x v="1"/>
    <x v="138"/>
    <x v="2"/>
    <x v="1"/>
    <x v="3"/>
    <n v="26303"/>
    <n v="16607"/>
    <n v="1319"/>
    <n v="207"/>
    <n v="60"/>
    <n v="9.5501896790510021E-2"/>
  </r>
  <r>
    <x v="159"/>
    <x v="4"/>
    <x v="139"/>
    <x v="3"/>
    <x v="1"/>
    <x v="4"/>
    <n v="11727"/>
    <n v="5198"/>
    <n v="254"/>
    <n v="119"/>
    <n v="37"/>
    <n v="7.8876490958060791E-2"/>
  </r>
  <r>
    <x v="160"/>
    <x v="2"/>
    <x v="140"/>
    <x v="10"/>
    <x v="0"/>
    <x v="1"/>
    <n v="471"/>
    <n v="276"/>
    <n v="7"/>
    <n v="0"/>
    <n v="4"/>
    <n v="3.9855072463768113E-2"/>
  </r>
  <r>
    <x v="161"/>
    <x v="4"/>
    <x v="141"/>
    <x v="0"/>
    <x v="1"/>
    <x v="4"/>
    <n v="20026"/>
    <n v="11416"/>
    <n v="469"/>
    <n v="208"/>
    <n v="165"/>
    <n v="7.3756131744919406E-2"/>
  </r>
  <r>
    <x v="162"/>
    <x v="1"/>
    <x v="142"/>
    <x v="6"/>
    <x v="0"/>
    <x v="1"/>
    <n v="20181"/>
    <n v="15435"/>
    <n v="573"/>
    <n v="160"/>
    <n v="74"/>
    <n v="5.2283770651117591E-2"/>
  </r>
  <r>
    <x v="163"/>
    <x v="1"/>
    <x v="143"/>
    <x v="4"/>
    <x v="1"/>
    <x v="4"/>
    <n v="36009"/>
    <n v="28102"/>
    <n v="1365"/>
    <n v="80"/>
    <n v="71"/>
    <n v="5.3946338338908266E-2"/>
  </r>
  <r>
    <x v="164"/>
    <x v="4"/>
    <x v="144"/>
    <x v="4"/>
    <x v="1"/>
    <x v="2"/>
    <n v="10578"/>
    <n v="6946"/>
    <n v="278"/>
    <n v="44"/>
    <n v="34"/>
    <n v="5.1252519435646418E-2"/>
  </r>
  <r>
    <x v="165"/>
    <x v="1"/>
    <x v="145"/>
    <x v="2"/>
    <x v="0"/>
    <x v="2"/>
    <n v="48103"/>
    <n v="24178"/>
    <n v="1342"/>
    <n v="354"/>
    <n v="139"/>
    <n v="7.5895442137480354E-2"/>
  </r>
  <r>
    <x v="166"/>
    <x v="2"/>
    <x v="146"/>
    <x v="10"/>
    <x v="0"/>
    <x v="2"/>
    <n v="14655"/>
    <n v="13078"/>
    <n v="388"/>
    <n v="44"/>
    <n v="81"/>
    <n v="3.9226181373298669E-2"/>
  </r>
  <r>
    <x v="167"/>
    <x v="3"/>
    <x v="147"/>
    <x v="0"/>
    <x v="0"/>
    <x v="3"/>
    <n v="93884"/>
    <n v="52756"/>
    <n v="2125"/>
    <n v="990"/>
    <n v="867"/>
    <n v="7.5479566305254375E-2"/>
  </r>
  <r>
    <x v="168"/>
    <x v="1"/>
    <x v="148"/>
    <x v="1"/>
    <x v="1"/>
    <x v="4"/>
    <n v="45076"/>
    <n v="24828"/>
    <n v="1520"/>
    <n v="249"/>
    <n v="162"/>
    <n v="7.7775092637344931E-2"/>
  </r>
  <r>
    <x v="169"/>
    <x v="2"/>
    <x v="149"/>
    <x v="5"/>
    <x v="1"/>
    <x v="2"/>
    <n v="35635"/>
    <n v="27103"/>
    <n v="465"/>
    <n v="39"/>
    <n v="100"/>
    <n v="2.2285355864664427E-2"/>
  </r>
  <r>
    <x v="170"/>
    <x v="1"/>
    <x v="150"/>
    <x v="1"/>
    <x v="1"/>
    <x v="1"/>
    <n v="15434"/>
    <n v="11400"/>
    <n v="714"/>
    <n v="76"/>
    <n v="13"/>
    <n v="7.0438596491228064E-2"/>
  </r>
  <r>
    <x v="171"/>
    <x v="0"/>
    <x v="151"/>
    <x v="2"/>
    <x v="1"/>
    <x v="1"/>
    <n v="21321"/>
    <n v="12342"/>
    <n v="176"/>
    <n v="153"/>
    <n v="231"/>
    <n v="4.5373521309350184E-2"/>
  </r>
  <r>
    <x v="172"/>
    <x v="0"/>
    <x v="152"/>
    <x v="1"/>
    <x v="0"/>
    <x v="2"/>
    <n v="22187"/>
    <n v="9633"/>
    <n v="204"/>
    <n v="37"/>
    <n v="93"/>
    <n v="3.4672480016609573E-2"/>
  </r>
  <r>
    <x v="173"/>
    <x v="2"/>
    <x v="153"/>
    <x v="9"/>
    <x v="0"/>
    <x v="1"/>
    <n v="9378"/>
    <n v="7167"/>
    <n v="190"/>
    <n v="7"/>
    <n v="96"/>
    <n v="4.0881819450258129E-2"/>
  </r>
  <r>
    <x v="174"/>
    <x v="1"/>
    <x v="154"/>
    <x v="7"/>
    <x v="0"/>
    <x v="4"/>
    <n v="44531"/>
    <n v="34397"/>
    <n v="1578"/>
    <n v="81"/>
    <n v="227"/>
    <n v="5.4830363113062185E-2"/>
  </r>
  <r>
    <x v="175"/>
    <x v="4"/>
    <x v="70"/>
    <x v="8"/>
    <x v="1"/>
    <x v="1"/>
    <n v="1833"/>
    <n v="1213"/>
    <n v="42"/>
    <n v="12"/>
    <n v="13"/>
    <n v="5.5234954657873044E-2"/>
  </r>
  <r>
    <x v="176"/>
    <x v="3"/>
    <x v="155"/>
    <x v="4"/>
    <x v="0"/>
    <x v="2"/>
    <n v="163262"/>
    <n v="69262"/>
    <n v="4425"/>
    <n v="1354"/>
    <n v="2216"/>
    <n v="0.11543126100892265"/>
  </r>
  <r>
    <x v="177"/>
    <x v="4"/>
    <x v="156"/>
    <x v="11"/>
    <x v="0"/>
    <x v="1"/>
    <n v="10011"/>
    <n v="7004"/>
    <n v="264"/>
    <n v="137"/>
    <n v="44"/>
    <n v="6.353512278697887E-2"/>
  </r>
  <r>
    <x v="178"/>
    <x v="2"/>
    <x v="157"/>
    <x v="5"/>
    <x v="0"/>
    <x v="0"/>
    <n v="6937"/>
    <n v="4808"/>
    <n v="91"/>
    <n v="22"/>
    <n v="73"/>
    <n v="3.8685524126455907E-2"/>
  </r>
  <r>
    <x v="179"/>
    <x v="1"/>
    <x v="158"/>
    <x v="11"/>
    <x v="0"/>
    <x v="4"/>
    <n v="13744"/>
    <n v="6665"/>
    <n v="229"/>
    <n v="76"/>
    <n v="38"/>
    <n v="5.1462865716429107E-2"/>
  </r>
  <r>
    <x v="180"/>
    <x v="1"/>
    <x v="159"/>
    <x v="3"/>
    <x v="0"/>
    <x v="2"/>
    <n v="109761"/>
    <n v="67645"/>
    <n v="2000"/>
    <n v="322"/>
    <n v="89"/>
    <n v="3.5641954320348883E-2"/>
  </r>
  <r>
    <x v="181"/>
    <x v="0"/>
    <x v="160"/>
    <x v="6"/>
    <x v="1"/>
    <x v="0"/>
    <n v="19511"/>
    <n v="5968"/>
    <n v="204"/>
    <n v="25"/>
    <n v="111"/>
    <n v="5.6970509383378019E-2"/>
  </r>
  <r>
    <x v="182"/>
    <x v="1"/>
    <x v="161"/>
    <x v="5"/>
    <x v="1"/>
    <x v="3"/>
    <n v="44075"/>
    <n v="26842"/>
    <n v="936"/>
    <n v="58"/>
    <n v="224"/>
    <n v="4.5376648535876613E-2"/>
  </r>
  <r>
    <x v="183"/>
    <x v="3"/>
    <x v="30"/>
    <x v="7"/>
    <x v="0"/>
    <x v="3"/>
    <n v="430687"/>
    <n v="221165"/>
    <n v="19145"/>
    <n v="1539"/>
    <n v="8164"/>
    <n v="0.13043655189564352"/>
  </r>
  <r>
    <x v="184"/>
    <x v="3"/>
    <x v="162"/>
    <x v="9"/>
    <x v="1"/>
    <x v="2"/>
    <n v="180438"/>
    <n v="122609"/>
    <n v="11422"/>
    <n v="3176"/>
    <n v="4525"/>
    <n v="0.15596734334347398"/>
  </r>
  <r>
    <x v="185"/>
    <x v="4"/>
    <x v="163"/>
    <x v="0"/>
    <x v="0"/>
    <x v="0"/>
    <n v="14797"/>
    <n v="8621"/>
    <n v="192"/>
    <n v="168"/>
    <n v="35"/>
    <n v="4.5818350539380583E-2"/>
  </r>
  <r>
    <x v="186"/>
    <x v="3"/>
    <x v="76"/>
    <x v="0"/>
    <x v="1"/>
    <x v="2"/>
    <n v="69757"/>
    <n v="40862"/>
    <n v="3206"/>
    <n v="1150"/>
    <n v="1599"/>
    <n v="0.14573442318046106"/>
  </r>
  <r>
    <x v="187"/>
    <x v="1"/>
    <x v="164"/>
    <x v="2"/>
    <x v="0"/>
    <x v="2"/>
    <n v="38300"/>
    <n v="28274"/>
    <n v="777"/>
    <n v="327"/>
    <n v="100"/>
    <n v="4.2583292070453423E-2"/>
  </r>
  <r>
    <x v="188"/>
    <x v="1"/>
    <x v="165"/>
    <x v="2"/>
    <x v="0"/>
    <x v="2"/>
    <n v="81586"/>
    <n v="63381"/>
    <n v="4259"/>
    <n v="802"/>
    <n v="173"/>
    <n v="8.2579952982755084E-2"/>
  </r>
  <r>
    <x v="189"/>
    <x v="3"/>
    <x v="166"/>
    <x v="7"/>
    <x v="1"/>
    <x v="2"/>
    <n v="97177"/>
    <n v="52716"/>
    <n v="5662"/>
    <n v="309"/>
    <n v="1859"/>
    <n v="0.14853175506487593"/>
  </r>
  <r>
    <x v="190"/>
    <x v="4"/>
    <x v="167"/>
    <x v="1"/>
    <x v="0"/>
    <x v="2"/>
    <n v="18258"/>
    <n v="9480"/>
    <n v="373"/>
    <n v="131"/>
    <n v="52"/>
    <n v="5.8649789029535868E-2"/>
  </r>
  <r>
    <x v="191"/>
    <x v="3"/>
    <x v="168"/>
    <x v="11"/>
    <x v="0"/>
    <x v="3"/>
    <n v="157187"/>
    <n v="56359"/>
    <n v="4523"/>
    <n v="1286"/>
    <n v="2163"/>
    <n v="0.14145034510903315"/>
  </r>
  <r>
    <x v="192"/>
    <x v="4"/>
    <x v="151"/>
    <x v="2"/>
    <x v="1"/>
    <x v="0"/>
    <n v="8356"/>
    <n v="3947"/>
    <n v="209"/>
    <n v="94"/>
    <n v="34"/>
    <n v="8.5381302254877126E-2"/>
  </r>
  <r>
    <x v="193"/>
    <x v="1"/>
    <x v="169"/>
    <x v="6"/>
    <x v="1"/>
    <x v="1"/>
    <n v="34583"/>
    <n v="25017"/>
    <n v="1675"/>
    <n v="194"/>
    <n v="169"/>
    <n v="8.1464604069232921E-2"/>
  </r>
  <r>
    <x v="194"/>
    <x v="1"/>
    <x v="170"/>
    <x v="1"/>
    <x v="1"/>
    <x v="4"/>
    <n v="36439"/>
    <n v="25902"/>
    <n v="1663"/>
    <n v="143"/>
    <n v="169"/>
    <n v="7.6248938305922317E-2"/>
  </r>
  <r>
    <x v="195"/>
    <x v="1"/>
    <x v="171"/>
    <x v="9"/>
    <x v="0"/>
    <x v="4"/>
    <n v="50268"/>
    <n v="32640"/>
    <n v="1559"/>
    <n v="313"/>
    <n v="34"/>
    <n v="5.8394607843137256E-2"/>
  </r>
  <r>
    <x v="196"/>
    <x v="3"/>
    <x v="172"/>
    <x v="7"/>
    <x v="0"/>
    <x v="2"/>
    <n v="185050"/>
    <n v="80995"/>
    <n v="6766"/>
    <n v="1185"/>
    <n v="3765"/>
    <n v="0.14465090437681338"/>
  </r>
  <r>
    <x v="197"/>
    <x v="3"/>
    <x v="173"/>
    <x v="11"/>
    <x v="1"/>
    <x v="3"/>
    <n v="8500"/>
    <n v="3932"/>
    <n v="269"/>
    <n v="68"/>
    <n v="68"/>
    <n v="0.10300101729399797"/>
  </r>
  <r>
    <x v="198"/>
    <x v="3"/>
    <x v="174"/>
    <x v="5"/>
    <x v="1"/>
    <x v="3"/>
    <n v="91908"/>
    <n v="52531"/>
    <n v="3626"/>
    <n v="1542"/>
    <n v="682"/>
    <n v="0.11136281433820031"/>
  </r>
  <r>
    <x v="199"/>
    <x v="3"/>
    <x v="68"/>
    <x v="11"/>
    <x v="1"/>
    <x v="3"/>
    <n v="413749"/>
    <n v="151849"/>
    <n v="8225"/>
    <n v="3789"/>
    <n v="6535"/>
    <n v="0.12215424533582704"/>
  </r>
  <r>
    <x v="200"/>
    <x v="3"/>
    <x v="175"/>
    <x v="3"/>
    <x v="0"/>
    <x v="3"/>
    <n v="9232"/>
    <n v="5820"/>
    <n v="537"/>
    <n v="83"/>
    <n v="63"/>
    <n v="0.11735395189003436"/>
  </r>
  <r>
    <x v="201"/>
    <x v="4"/>
    <x v="176"/>
    <x v="10"/>
    <x v="1"/>
    <x v="1"/>
    <n v="11698"/>
    <n v="6309"/>
    <n v="309"/>
    <n v="75"/>
    <n v="89"/>
    <n v="7.4972261848153435E-2"/>
  </r>
  <r>
    <x v="202"/>
    <x v="3"/>
    <x v="177"/>
    <x v="7"/>
    <x v="0"/>
    <x v="3"/>
    <n v="224484"/>
    <n v="155989"/>
    <n v="12346"/>
    <n v="838"/>
    <n v="2127"/>
    <n v="9.815435703799627E-2"/>
  </r>
  <r>
    <x v="203"/>
    <x v="3"/>
    <x v="120"/>
    <x v="10"/>
    <x v="0"/>
    <x v="3"/>
    <n v="199572"/>
    <n v="69186"/>
    <n v="2368"/>
    <n v="369"/>
    <n v="841"/>
    <n v="5.1715665018934466E-2"/>
  </r>
  <r>
    <x v="204"/>
    <x v="4"/>
    <x v="178"/>
    <x v="0"/>
    <x v="0"/>
    <x v="0"/>
    <n v="4192"/>
    <n v="2166"/>
    <n v="35"/>
    <n v="19"/>
    <n v="15"/>
    <n v="3.1855955678670361E-2"/>
  </r>
  <r>
    <x v="205"/>
    <x v="2"/>
    <x v="179"/>
    <x v="6"/>
    <x v="0"/>
    <x v="1"/>
    <n v="411"/>
    <n v="283"/>
    <n v="2"/>
    <n v="2"/>
    <n v="4"/>
    <n v="2.8268551236749116E-2"/>
  </r>
  <r>
    <x v="206"/>
    <x v="3"/>
    <x v="180"/>
    <x v="0"/>
    <x v="1"/>
    <x v="2"/>
    <n v="317455"/>
    <n v="177637"/>
    <n v="10516"/>
    <n v="4747"/>
    <n v="5219"/>
    <n v="0.11530255521090764"/>
  </r>
  <r>
    <x v="207"/>
    <x v="2"/>
    <x v="181"/>
    <x v="3"/>
    <x v="1"/>
    <x v="0"/>
    <n v="23747"/>
    <n v="13149"/>
    <n v="283"/>
    <n v="76"/>
    <n v="215"/>
    <n v="4.3653509772606285E-2"/>
  </r>
  <r>
    <x v="208"/>
    <x v="3"/>
    <x v="182"/>
    <x v="10"/>
    <x v="0"/>
    <x v="2"/>
    <n v="272386"/>
    <n v="146612"/>
    <n v="6631"/>
    <n v="1981"/>
    <n v="1699"/>
    <n v="7.0328486072081406E-2"/>
  </r>
  <r>
    <x v="209"/>
    <x v="1"/>
    <x v="183"/>
    <x v="6"/>
    <x v="1"/>
    <x v="4"/>
    <n v="20635"/>
    <n v="14246"/>
    <n v="412"/>
    <n v="41"/>
    <n v="94"/>
    <n v="3.8396742945388182E-2"/>
  </r>
  <r>
    <x v="210"/>
    <x v="3"/>
    <x v="184"/>
    <x v="2"/>
    <x v="1"/>
    <x v="2"/>
    <n v="512834"/>
    <n v="214531"/>
    <n v="20672"/>
    <n v="2667"/>
    <n v="9009"/>
    <n v="0.15078473507325282"/>
  </r>
  <r>
    <x v="211"/>
    <x v="1"/>
    <x v="72"/>
    <x v="4"/>
    <x v="1"/>
    <x v="2"/>
    <n v="81281"/>
    <n v="55901"/>
    <n v="3726"/>
    <n v="831"/>
    <n v="268"/>
    <n v="8.6313303876495953E-2"/>
  </r>
  <r>
    <x v="212"/>
    <x v="4"/>
    <x v="185"/>
    <x v="3"/>
    <x v="0"/>
    <x v="1"/>
    <n v="9256"/>
    <n v="6568"/>
    <n v="314"/>
    <n v="111"/>
    <n v="79"/>
    <n v="7.6735688185140066E-2"/>
  </r>
  <r>
    <x v="213"/>
    <x v="4"/>
    <x v="160"/>
    <x v="6"/>
    <x v="1"/>
    <x v="1"/>
    <n v="19703"/>
    <n v="15340"/>
    <n v="703"/>
    <n v="148"/>
    <n v="216"/>
    <n v="6.9556714471968706E-2"/>
  </r>
  <r>
    <x v="214"/>
    <x v="1"/>
    <x v="131"/>
    <x v="6"/>
    <x v="0"/>
    <x v="4"/>
    <n v="55527"/>
    <n v="38154"/>
    <n v="2627"/>
    <n v="441"/>
    <n v="77"/>
    <n v="8.2429103108455207E-2"/>
  </r>
  <r>
    <x v="215"/>
    <x v="1"/>
    <x v="186"/>
    <x v="1"/>
    <x v="0"/>
    <x v="1"/>
    <n v="2387"/>
    <n v="1855"/>
    <n v="38"/>
    <n v="17"/>
    <n v="11"/>
    <n v="3.5579514824797841E-2"/>
  </r>
  <r>
    <x v="216"/>
    <x v="1"/>
    <x v="11"/>
    <x v="9"/>
    <x v="1"/>
    <x v="2"/>
    <n v="84477"/>
    <n v="42276"/>
    <n v="1552"/>
    <n v="374"/>
    <n v="331"/>
    <n v="5.3387264641877187E-2"/>
  </r>
  <r>
    <x v="217"/>
    <x v="1"/>
    <x v="187"/>
    <x v="0"/>
    <x v="1"/>
    <x v="2"/>
    <n v="21725"/>
    <n v="10248"/>
    <n v="233"/>
    <n v="103"/>
    <n v="87"/>
    <n v="4.1276346604215454E-2"/>
  </r>
  <r>
    <x v="218"/>
    <x v="4"/>
    <x v="85"/>
    <x v="1"/>
    <x v="1"/>
    <x v="2"/>
    <n v="19152"/>
    <n v="8690"/>
    <n v="181"/>
    <n v="50"/>
    <n v="69"/>
    <n v="3.4522439585730723E-2"/>
  </r>
  <r>
    <x v="219"/>
    <x v="1"/>
    <x v="99"/>
    <x v="10"/>
    <x v="1"/>
    <x v="3"/>
    <n v="69366"/>
    <n v="28833"/>
    <n v="797"/>
    <n v="111"/>
    <n v="260"/>
    <n v="4.0509138833974959E-2"/>
  </r>
  <r>
    <x v="220"/>
    <x v="3"/>
    <x v="188"/>
    <x v="10"/>
    <x v="0"/>
    <x v="2"/>
    <n v="309128"/>
    <n v="121115"/>
    <n v="6789"/>
    <n v="2965"/>
    <n v="5670"/>
    <n v="0.12735003921892415"/>
  </r>
  <r>
    <x v="221"/>
    <x v="1"/>
    <x v="189"/>
    <x v="6"/>
    <x v="0"/>
    <x v="4"/>
    <n v="35463"/>
    <n v="16917"/>
    <n v="948"/>
    <n v="107"/>
    <n v="99"/>
    <n v="6.8215404622569017E-2"/>
  </r>
  <r>
    <x v="222"/>
    <x v="3"/>
    <x v="190"/>
    <x v="7"/>
    <x v="1"/>
    <x v="3"/>
    <n v="346346"/>
    <n v="130370"/>
    <n v="12843"/>
    <n v="1781"/>
    <n v="5513"/>
    <n v="0.15446038198972156"/>
  </r>
  <r>
    <x v="223"/>
    <x v="0"/>
    <x v="191"/>
    <x v="11"/>
    <x v="1"/>
    <x v="1"/>
    <n v="1243"/>
    <n v="485"/>
    <n v="24"/>
    <n v="9"/>
    <n v="9"/>
    <n v="8.6597938144329895E-2"/>
  </r>
  <r>
    <x v="224"/>
    <x v="3"/>
    <x v="192"/>
    <x v="5"/>
    <x v="1"/>
    <x v="3"/>
    <n v="67913"/>
    <n v="33045"/>
    <n v="2727"/>
    <n v="402"/>
    <n v="1198"/>
    <n v="0.13094265395672569"/>
  </r>
  <r>
    <x v="225"/>
    <x v="1"/>
    <x v="193"/>
    <x v="11"/>
    <x v="1"/>
    <x v="1"/>
    <n v="22677"/>
    <n v="15868"/>
    <n v="334"/>
    <n v="211"/>
    <n v="112"/>
    <n v="4.1404083690446181E-2"/>
  </r>
  <r>
    <x v="226"/>
    <x v="1"/>
    <x v="138"/>
    <x v="2"/>
    <x v="1"/>
    <x v="3"/>
    <n v="69409"/>
    <n v="48074"/>
    <n v="1798"/>
    <n v="526"/>
    <n v="444"/>
    <n v="5.7577900736364769E-2"/>
  </r>
  <r>
    <x v="227"/>
    <x v="1"/>
    <x v="194"/>
    <x v="8"/>
    <x v="0"/>
    <x v="3"/>
    <n v="84665"/>
    <n v="39276"/>
    <n v="2976"/>
    <n v="361"/>
    <n v="291"/>
    <n v="9.2371931968632248E-2"/>
  </r>
  <r>
    <x v="228"/>
    <x v="1"/>
    <x v="195"/>
    <x v="8"/>
    <x v="1"/>
    <x v="2"/>
    <n v="69804"/>
    <n v="44744"/>
    <n v="2608"/>
    <n v="114"/>
    <n v="104"/>
    <n v="6.3159306275701765E-2"/>
  </r>
  <r>
    <x v="229"/>
    <x v="4"/>
    <x v="196"/>
    <x v="10"/>
    <x v="0"/>
    <x v="1"/>
    <n v="12708"/>
    <n v="7249"/>
    <n v="182"/>
    <n v="120"/>
    <n v="98"/>
    <n v="5.5180024831011171E-2"/>
  </r>
  <r>
    <x v="230"/>
    <x v="1"/>
    <x v="197"/>
    <x v="3"/>
    <x v="0"/>
    <x v="3"/>
    <n v="25969"/>
    <n v="19451"/>
    <n v="1525"/>
    <n v="137"/>
    <n v="120"/>
    <n v="9.1614827001182453E-2"/>
  </r>
  <r>
    <x v="231"/>
    <x v="0"/>
    <x v="54"/>
    <x v="0"/>
    <x v="1"/>
    <x v="0"/>
    <n v="24835"/>
    <n v="13405"/>
    <n v="446"/>
    <n v="139"/>
    <n v="131"/>
    <n v="5.3412905632226781E-2"/>
  </r>
  <r>
    <x v="232"/>
    <x v="1"/>
    <x v="198"/>
    <x v="1"/>
    <x v="0"/>
    <x v="2"/>
    <n v="69623"/>
    <n v="43901"/>
    <n v="2257"/>
    <n v="589"/>
    <n v="45"/>
    <n v="6.5852714061183121E-2"/>
  </r>
  <r>
    <x v="233"/>
    <x v="1"/>
    <x v="109"/>
    <x v="9"/>
    <x v="0"/>
    <x v="4"/>
    <n v="36545"/>
    <n v="18868"/>
    <n v="832"/>
    <n v="167"/>
    <n v="73"/>
    <n v="5.6815772736909055E-2"/>
  </r>
  <r>
    <x v="234"/>
    <x v="0"/>
    <x v="118"/>
    <x v="5"/>
    <x v="0"/>
    <x v="2"/>
    <n v="12513"/>
    <n v="4472"/>
    <n v="199"/>
    <n v="36"/>
    <n v="127"/>
    <n v="8.0948121645796067E-2"/>
  </r>
  <r>
    <x v="235"/>
    <x v="0"/>
    <x v="199"/>
    <x v="0"/>
    <x v="1"/>
    <x v="4"/>
    <n v="33475"/>
    <n v="17487"/>
    <n v="781"/>
    <n v="61"/>
    <n v="302"/>
    <n v="6.5420026305255327E-2"/>
  </r>
  <r>
    <x v="236"/>
    <x v="0"/>
    <x v="200"/>
    <x v="10"/>
    <x v="1"/>
    <x v="4"/>
    <n v="32149"/>
    <n v="17932"/>
    <n v="199"/>
    <n v="219"/>
    <n v="496"/>
    <n v="5.0970332366718718E-2"/>
  </r>
  <r>
    <x v="237"/>
    <x v="0"/>
    <x v="201"/>
    <x v="7"/>
    <x v="0"/>
    <x v="2"/>
    <n v="59311"/>
    <n v="38645"/>
    <n v="1427"/>
    <n v="178"/>
    <n v="1097"/>
    <n v="6.9918488808384013E-2"/>
  </r>
  <r>
    <x v="238"/>
    <x v="2"/>
    <x v="118"/>
    <x v="5"/>
    <x v="0"/>
    <x v="1"/>
    <n v="6650"/>
    <n v="4450"/>
    <n v="88"/>
    <n v="29"/>
    <n v="30"/>
    <n v="3.3033707865168536E-2"/>
  </r>
  <r>
    <x v="239"/>
    <x v="0"/>
    <x v="202"/>
    <x v="2"/>
    <x v="0"/>
    <x v="4"/>
    <n v="1657"/>
    <n v="1073"/>
    <n v="37"/>
    <n v="10"/>
    <n v="23"/>
    <n v="6.5237651444547989E-2"/>
  </r>
  <r>
    <x v="240"/>
    <x v="3"/>
    <x v="49"/>
    <x v="3"/>
    <x v="1"/>
    <x v="2"/>
    <n v="108505"/>
    <n v="70144"/>
    <n v="2978"/>
    <n v="1107"/>
    <n v="2855"/>
    <n v="9.8939324817518243E-2"/>
  </r>
  <r>
    <x v="241"/>
    <x v="1"/>
    <x v="203"/>
    <x v="3"/>
    <x v="1"/>
    <x v="4"/>
    <n v="51565"/>
    <n v="36906"/>
    <n v="2329"/>
    <n v="388"/>
    <n v="296"/>
    <n v="8.1639841760147408E-2"/>
  </r>
  <r>
    <x v="242"/>
    <x v="3"/>
    <x v="204"/>
    <x v="10"/>
    <x v="0"/>
    <x v="2"/>
    <n v="178037"/>
    <n v="88521"/>
    <n v="6409"/>
    <n v="1924"/>
    <n v="3605"/>
    <n v="0.13486065453395241"/>
  </r>
  <r>
    <x v="243"/>
    <x v="3"/>
    <x v="205"/>
    <x v="0"/>
    <x v="1"/>
    <x v="3"/>
    <n v="113603"/>
    <n v="66263"/>
    <n v="2835"/>
    <n v="1732"/>
    <n v="2443"/>
    <n v="0.10579056185201395"/>
  </r>
  <r>
    <x v="244"/>
    <x v="3"/>
    <x v="206"/>
    <x v="9"/>
    <x v="0"/>
    <x v="2"/>
    <n v="412062"/>
    <n v="210624"/>
    <n v="18048"/>
    <n v="5421"/>
    <n v="5811"/>
    <n v="0.13901549680948039"/>
  </r>
  <r>
    <x v="245"/>
    <x v="3"/>
    <x v="44"/>
    <x v="11"/>
    <x v="0"/>
    <x v="3"/>
    <n v="167258"/>
    <n v="105559"/>
    <n v="7139"/>
    <n v="1753"/>
    <n v="3165"/>
    <n v="0.11422048333159655"/>
  </r>
  <r>
    <x v="246"/>
    <x v="0"/>
    <x v="207"/>
    <x v="2"/>
    <x v="1"/>
    <x v="1"/>
    <n v="8453"/>
    <n v="2744"/>
    <n v="70"/>
    <n v="52"/>
    <n v="61"/>
    <n v="6.6690962099125367E-2"/>
  </r>
  <r>
    <x v="247"/>
    <x v="0"/>
    <x v="16"/>
    <x v="5"/>
    <x v="1"/>
    <x v="1"/>
    <n v="11670"/>
    <n v="7549"/>
    <n v="83"/>
    <n v="121"/>
    <n v="183"/>
    <n v="5.1265068220956417E-2"/>
  </r>
  <r>
    <x v="248"/>
    <x v="1"/>
    <x v="161"/>
    <x v="5"/>
    <x v="1"/>
    <x v="3"/>
    <n v="50804"/>
    <n v="33333"/>
    <n v="1967"/>
    <n v="113"/>
    <n v="54"/>
    <n v="6.4020640206402066E-2"/>
  </r>
  <r>
    <x v="249"/>
    <x v="2"/>
    <x v="208"/>
    <x v="5"/>
    <x v="1"/>
    <x v="0"/>
    <n v="19570"/>
    <n v="15268"/>
    <n v="93"/>
    <n v="58"/>
    <n v="43"/>
    <n v="1.2706313859051611E-2"/>
  </r>
  <r>
    <x v="250"/>
    <x v="1"/>
    <x v="152"/>
    <x v="1"/>
    <x v="0"/>
    <x v="3"/>
    <n v="25198"/>
    <n v="11732"/>
    <n v="764"/>
    <n v="64"/>
    <n v="115"/>
    <n v="8.0378452096829187E-2"/>
  </r>
  <r>
    <x v="251"/>
    <x v="4"/>
    <x v="209"/>
    <x v="2"/>
    <x v="0"/>
    <x v="4"/>
    <n v="1247"/>
    <n v="713"/>
    <n v="24"/>
    <n v="16"/>
    <n v="6"/>
    <n v="6.4516129032258063E-2"/>
  </r>
  <r>
    <x v="252"/>
    <x v="1"/>
    <x v="210"/>
    <x v="8"/>
    <x v="0"/>
    <x v="4"/>
    <n v="46649"/>
    <n v="19555"/>
    <n v="1372"/>
    <n v="213"/>
    <n v="143"/>
    <n v="8.8366146765533116E-2"/>
  </r>
  <r>
    <x v="253"/>
    <x v="1"/>
    <x v="211"/>
    <x v="6"/>
    <x v="0"/>
    <x v="1"/>
    <n v="35125"/>
    <n v="22571"/>
    <n v="1746"/>
    <n v="128"/>
    <n v="225"/>
    <n v="9.299543662221435E-2"/>
  </r>
  <r>
    <x v="254"/>
    <x v="3"/>
    <x v="51"/>
    <x v="6"/>
    <x v="1"/>
    <x v="3"/>
    <n v="11249"/>
    <n v="7065"/>
    <n v="364"/>
    <n v="173"/>
    <n v="155"/>
    <n v="9.7947629157820237E-2"/>
  </r>
  <r>
    <x v="255"/>
    <x v="0"/>
    <x v="212"/>
    <x v="11"/>
    <x v="0"/>
    <x v="0"/>
    <n v="24441"/>
    <n v="10879"/>
    <n v="337"/>
    <n v="202"/>
    <n v="75"/>
    <n v="5.6439010938505375E-2"/>
  </r>
  <r>
    <x v="256"/>
    <x v="4"/>
    <x v="213"/>
    <x v="8"/>
    <x v="0"/>
    <x v="2"/>
    <n v="2648"/>
    <n v="1347"/>
    <n v="49"/>
    <n v="14"/>
    <n v="17"/>
    <n v="5.9391239792130658E-2"/>
  </r>
  <r>
    <x v="257"/>
    <x v="0"/>
    <x v="150"/>
    <x v="1"/>
    <x v="1"/>
    <x v="0"/>
    <n v="8413"/>
    <n v="5885"/>
    <n v="210"/>
    <n v="45"/>
    <n v="95"/>
    <n v="5.9473237043330504E-2"/>
  </r>
  <r>
    <x v="258"/>
    <x v="1"/>
    <x v="214"/>
    <x v="7"/>
    <x v="1"/>
    <x v="3"/>
    <n v="87465"/>
    <n v="46191"/>
    <n v="2314"/>
    <n v="107"/>
    <n v="330"/>
    <n v="5.9557056569461586E-2"/>
  </r>
  <r>
    <x v="259"/>
    <x v="3"/>
    <x v="215"/>
    <x v="1"/>
    <x v="1"/>
    <x v="2"/>
    <n v="238988"/>
    <n v="75452"/>
    <n v="6979"/>
    <n v="1303"/>
    <n v="1839"/>
    <n v="0.13413826008588242"/>
  </r>
  <r>
    <x v="260"/>
    <x v="4"/>
    <x v="0"/>
    <x v="0"/>
    <x v="0"/>
    <x v="1"/>
    <n v="10739"/>
    <n v="6660"/>
    <n v="385"/>
    <n v="43"/>
    <n v="74"/>
    <n v="7.5375375375375378E-2"/>
  </r>
  <r>
    <x v="261"/>
    <x v="1"/>
    <x v="50"/>
    <x v="5"/>
    <x v="0"/>
    <x v="1"/>
    <n v="13057"/>
    <n v="9506"/>
    <n v="650"/>
    <n v="89"/>
    <n v="25"/>
    <n v="8.0370292446875657E-2"/>
  </r>
  <r>
    <x v="262"/>
    <x v="0"/>
    <x v="216"/>
    <x v="10"/>
    <x v="0"/>
    <x v="1"/>
    <n v="27725"/>
    <n v="17999"/>
    <n v="349"/>
    <n v="231"/>
    <n v="427"/>
    <n v="5.5947552641813433E-2"/>
  </r>
  <r>
    <x v="263"/>
    <x v="1"/>
    <x v="50"/>
    <x v="5"/>
    <x v="0"/>
    <x v="4"/>
    <n v="57682"/>
    <n v="44434"/>
    <n v="1003"/>
    <n v="262"/>
    <n v="289"/>
    <n v="3.4973218706396005E-2"/>
  </r>
  <r>
    <x v="264"/>
    <x v="2"/>
    <x v="217"/>
    <x v="7"/>
    <x v="1"/>
    <x v="2"/>
    <n v="17139"/>
    <n v="9843"/>
    <n v="52"/>
    <n v="36"/>
    <n v="177"/>
    <n v="2.692268617291476E-2"/>
  </r>
  <r>
    <x v="265"/>
    <x v="3"/>
    <x v="185"/>
    <x v="3"/>
    <x v="0"/>
    <x v="3"/>
    <n v="189115"/>
    <n v="82786"/>
    <n v="9495"/>
    <n v="717"/>
    <n v="2947"/>
    <n v="0.15895199671442031"/>
  </r>
  <r>
    <x v="266"/>
    <x v="1"/>
    <x v="218"/>
    <x v="7"/>
    <x v="1"/>
    <x v="1"/>
    <n v="44207"/>
    <n v="32862"/>
    <n v="803"/>
    <n v="386"/>
    <n v="318"/>
    <n v="4.5858438317813888E-2"/>
  </r>
  <r>
    <x v="267"/>
    <x v="2"/>
    <x v="219"/>
    <x v="2"/>
    <x v="0"/>
    <x v="0"/>
    <n v="15615"/>
    <n v="13350"/>
    <n v="146"/>
    <n v="15"/>
    <n v="260"/>
    <n v="3.1535580524344568E-2"/>
  </r>
  <r>
    <x v="268"/>
    <x v="4"/>
    <x v="220"/>
    <x v="4"/>
    <x v="1"/>
    <x v="1"/>
    <n v="14552"/>
    <n v="11582"/>
    <n v="469"/>
    <n v="154"/>
    <n v="139"/>
    <n v="6.579174581246762E-2"/>
  </r>
  <r>
    <x v="269"/>
    <x v="0"/>
    <x v="221"/>
    <x v="7"/>
    <x v="0"/>
    <x v="1"/>
    <n v="3215"/>
    <n v="1257"/>
    <n v="34"/>
    <n v="3"/>
    <n v="16"/>
    <n v="4.2163882259347654E-2"/>
  </r>
  <r>
    <x v="270"/>
    <x v="2"/>
    <x v="222"/>
    <x v="0"/>
    <x v="1"/>
    <x v="1"/>
    <n v="22166"/>
    <n v="13317"/>
    <n v="280"/>
    <n v="50"/>
    <n v="213"/>
    <n v="4.0774949312908315E-2"/>
  </r>
  <r>
    <x v="271"/>
    <x v="3"/>
    <x v="142"/>
    <x v="6"/>
    <x v="0"/>
    <x v="3"/>
    <n v="115946"/>
    <n v="37187"/>
    <n v="3976"/>
    <n v="509"/>
    <n v="1040"/>
    <n v="0.14857342619732702"/>
  </r>
  <r>
    <x v="272"/>
    <x v="2"/>
    <x v="223"/>
    <x v="10"/>
    <x v="1"/>
    <x v="2"/>
    <n v="49795"/>
    <n v="40622"/>
    <n v="928"/>
    <n v="63"/>
    <n v="119"/>
    <n v="2.732509477622963E-2"/>
  </r>
  <r>
    <x v="273"/>
    <x v="0"/>
    <x v="23"/>
    <x v="11"/>
    <x v="0"/>
    <x v="1"/>
    <n v="21275"/>
    <n v="11159"/>
    <n v="223"/>
    <n v="149"/>
    <n v="244"/>
    <n v="5.5202079039340442E-2"/>
  </r>
  <r>
    <x v="274"/>
    <x v="3"/>
    <x v="224"/>
    <x v="1"/>
    <x v="0"/>
    <x v="2"/>
    <n v="249153"/>
    <n v="111826"/>
    <n v="9278"/>
    <n v="2328"/>
    <n v="2336"/>
    <n v="0.12467583567327813"/>
  </r>
  <r>
    <x v="275"/>
    <x v="3"/>
    <x v="225"/>
    <x v="9"/>
    <x v="1"/>
    <x v="3"/>
    <n v="479116"/>
    <n v="244474"/>
    <n v="29116"/>
    <n v="1302"/>
    <n v="5281"/>
    <n v="0.14602370804257303"/>
  </r>
  <r>
    <x v="276"/>
    <x v="0"/>
    <x v="203"/>
    <x v="3"/>
    <x v="1"/>
    <x v="4"/>
    <n v="1917"/>
    <n v="751"/>
    <n v="26"/>
    <n v="4"/>
    <n v="15"/>
    <n v="5.9920106524633823E-2"/>
  </r>
  <r>
    <x v="277"/>
    <x v="4"/>
    <x v="226"/>
    <x v="4"/>
    <x v="0"/>
    <x v="0"/>
    <n v="14624"/>
    <n v="7922"/>
    <n v="238"/>
    <n v="76"/>
    <n v="99"/>
    <n v="5.2133299671800047E-2"/>
  </r>
  <r>
    <x v="278"/>
    <x v="3"/>
    <x v="36"/>
    <x v="5"/>
    <x v="0"/>
    <x v="2"/>
    <n v="171936"/>
    <n v="96477"/>
    <n v="4349"/>
    <n v="2652"/>
    <n v="1481"/>
    <n v="8.7917327445919749E-2"/>
  </r>
  <r>
    <x v="279"/>
    <x v="3"/>
    <x v="106"/>
    <x v="5"/>
    <x v="1"/>
    <x v="3"/>
    <n v="267265"/>
    <n v="129762"/>
    <n v="4658"/>
    <n v="3705"/>
    <n v="1986"/>
    <n v="7.9753702933062068E-2"/>
  </r>
  <r>
    <x v="280"/>
    <x v="0"/>
    <x v="227"/>
    <x v="11"/>
    <x v="0"/>
    <x v="4"/>
    <n v="15655"/>
    <n v="8593"/>
    <n v="328"/>
    <n v="153"/>
    <n v="116"/>
    <n v="6.9475154195275224E-2"/>
  </r>
  <r>
    <x v="281"/>
    <x v="0"/>
    <x v="13"/>
    <x v="10"/>
    <x v="1"/>
    <x v="2"/>
    <n v="50893"/>
    <n v="32443"/>
    <n v="580"/>
    <n v="105"/>
    <n v="827"/>
    <n v="4.6604814597910181E-2"/>
  </r>
  <r>
    <x v="282"/>
    <x v="3"/>
    <x v="228"/>
    <x v="6"/>
    <x v="1"/>
    <x v="2"/>
    <n v="124057"/>
    <n v="43671"/>
    <n v="5159"/>
    <n v="598"/>
    <n v="1119"/>
    <n v="0.15745002404341554"/>
  </r>
  <r>
    <x v="283"/>
    <x v="3"/>
    <x v="9"/>
    <x v="8"/>
    <x v="1"/>
    <x v="3"/>
    <n v="317606"/>
    <n v="204299"/>
    <n v="6349"/>
    <n v="5077"/>
    <n v="3835"/>
    <n v="7.4699337735378055E-2"/>
  </r>
  <r>
    <x v="284"/>
    <x v="3"/>
    <x v="229"/>
    <x v="6"/>
    <x v="1"/>
    <x v="3"/>
    <n v="130990"/>
    <n v="74173"/>
    <n v="7846"/>
    <n v="583"/>
    <n v="1506"/>
    <n v="0.13394361829776333"/>
  </r>
  <r>
    <x v="285"/>
    <x v="1"/>
    <x v="116"/>
    <x v="9"/>
    <x v="1"/>
    <x v="2"/>
    <n v="19221"/>
    <n v="8063"/>
    <n v="629"/>
    <n v="38"/>
    <n v="17"/>
    <n v="8.4831948406300386E-2"/>
  </r>
  <r>
    <x v="286"/>
    <x v="1"/>
    <x v="74"/>
    <x v="3"/>
    <x v="1"/>
    <x v="2"/>
    <n v="48127"/>
    <n v="28544"/>
    <n v="692"/>
    <n v="260"/>
    <n v="141"/>
    <n v="3.82917600896861E-2"/>
  </r>
  <r>
    <x v="287"/>
    <x v="0"/>
    <x v="195"/>
    <x v="8"/>
    <x v="1"/>
    <x v="4"/>
    <n v="20600"/>
    <n v="7910"/>
    <n v="300"/>
    <n v="120"/>
    <n v="167"/>
    <n v="7.4209860935524646E-2"/>
  </r>
  <r>
    <x v="288"/>
    <x v="3"/>
    <x v="16"/>
    <x v="5"/>
    <x v="1"/>
    <x v="3"/>
    <n v="267250"/>
    <n v="160414"/>
    <n v="16606"/>
    <n v="2210"/>
    <n v="6744"/>
    <n v="0.1593377136658895"/>
  </r>
  <r>
    <x v="289"/>
    <x v="2"/>
    <x v="216"/>
    <x v="10"/>
    <x v="0"/>
    <x v="2"/>
    <n v="65898"/>
    <n v="58771"/>
    <n v="667"/>
    <n v="59"/>
    <n v="1074"/>
    <n v="3.0627350223749808E-2"/>
  </r>
  <r>
    <x v="290"/>
    <x v="3"/>
    <x v="230"/>
    <x v="7"/>
    <x v="1"/>
    <x v="3"/>
    <n v="162631"/>
    <n v="81462"/>
    <n v="9603"/>
    <n v="1326"/>
    <n v="1988"/>
    <n v="0.15856472956716014"/>
  </r>
  <r>
    <x v="291"/>
    <x v="3"/>
    <x v="118"/>
    <x v="5"/>
    <x v="0"/>
    <x v="2"/>
    <n v="335925"/>
    <n v="206102"/>
    <n v="22794"/>
    <n v="4283"/>
    <n v="6109"/>
    <n v="0.16101736033614425"/>
  </r>
  <r>
    <x v="292"/>
    <x v="3"/>
    <x v="231"/>
    <x v="4"/>
    <x v="0"/>
    <x v="3"/>
    <n v="327720"/>
    <n v="113540"/>
    <n v="10924"/>
    <n v="1235"/>
    <n v="2980"/>
    <n v="0.1333362691562445"/>
  </r>
  <r>
    <x v="293"/>
    <x v="3"/>
    <x v="51"/>
    <x v="6"/>
    <x v="1"/>
    <x v="2"/>
    <n v="264001"/>
    <n v="115285"/>
    <n v="4168"/>
    <n v="2054"/>
    <n v="4790"/>
    <n v="9.5519798759595778E-2"/>
  </r>
  <r>
    <x v="294"/>
    <x v="4"/>
    <x v="232"/>
    <x v="9"/>
    <x v="1"/>
    <x v="0"/>
    <n v="8569"/>
    <n v="5583"/>
    <n v="211"/>
    <n v="114"/>
    <n v="20"/>
    <n v="6.1794734013970981E-2"/>
  </r>
  <r>
    <x v="295"/>
    <x v="3"/>
    <x v="164"/>
    <x v="2"/>
    <x v="0"/>
    <x v="3"/>
    <n v="234440"/>
    <n v="94642"/>
    <n v="4690"/>
    <n v="1249"/>
    <n v="1602"/>
    <n v="7.9679212189091519E-2"/>
  </r>
  <r>
    <x v="296"/>
    <x v="1"/>
    <x v="233"/>
    <x v="1"/>
    <x v="0"/>
    <x v="2"/>
    <n v="21886"/>
    <n v="12065"/>
    <n v="810"/>
    <n v="125"/>
    <n v="31"/>
    <n v="8.0066307501036049E-2"/>
  </r>
  <r>
    <x v="297"/>
    <x v="1"/>
    <x v="4"/>
    <x v="4"/>
    <x v="1"/>
    <x v="4"/>
    <n v="46055"/>
    <n v="30899"/>
    <n v="925"/>
    <n v="408"/>
    <n v="128"/>
    <n v="4.7283083594938345E-2"/>
  </r>
  <r>
    <x v="298"/>
    <x v="4"/>
    <x v="234"/>
    <x v="9"/>
    <x v="1"/>
    <x v="2"/>
    <n v="32987"/>
    <n v="20391"/>
    <n v="898"/>
    <n v="496"/>
    <n v="105"/>
    <n v="7.3512824285223877E-2"/>
  </r>
  <r>
    <x v="299"/>
    <x v="1"/>
    <x v="235"/>
    <x v="8"/>
    <x v="1"/>
    <x v="1"/>
    <n v="19452"/>
    <n v="12056"/>
    <n v="928"/>
    <n v="152"/>
    <n v="26"/>
    <n v="9.1738553417385529E-2"/>
  </r>
  <r>
    <x v="300"/>
    <x v="0"/>
    <x v="236"/>
    <x v="0"/>
    <x v="1"/>
    <x v="2"/>
    <n v="39173"/>
    <n v="14507"/>
    <n v="674"/>
    <n v="179"/>
    <n v="428"/>
    <n v="8.8302198938443516E-2"/>
  </r>
  <r>
    <x v="301"/>
    <x v="2"/>
    <x v="237"/>
    <x v="10"/>
    <x v="0"/>
    <x v="2"/>
    <n v="7902"/>
    <n v="6279"/>
    <n v="145"/>
    <n v="34"/>
    <n v="106"/>
    <n v="4.5389393215480175E-2"/>
  </r>
  <r>
    <x v="302"/>
    <x v="3"/>
    <x v="27"/>
    <x v="7"/>
    <x v="0"/>
    <x v="2"/>
    <n v="179612"/>
    <n v="121236"/>
    <n v="13155"/>
    <n v="2428"/>
    <n v="1907"/>
    <n v="0.14426407997624469"/>
  </r>
  <r>
    <x v="303"/>
    <x v="4"/>
    <x v="204"/>
    <x v="10"/>
    <x v="0"/>
    <x v="1"/>
    <n v="13777"/>
    <n v="10680"/>
    <n v="458"/>
    <n v="101"/>
    <n v="126"/>
    <n v="6.4138576779026221E-2"/>
  </r>
  <r>
    <x v="304"/>
    <x v="1"/>
    <x v="238"/>
    <x v="0"/>
    <x v="1"/>
    <x v="2"/>
    <n v="21373"/>
    <n v="11115"/>
    <n v="472"/>
    <n v="31"/>
    <n v="34"/>
    <n v="4.8313090418353577E-2"/>
  </r>
  <r>
    <x v="305"/>
    <x v="0"/>
    <x v="239"/>
    <x v="9"/>
    <x v="0"/>
    <x v="2"/>
    <n v="17863"/>
    <n v="6969"/>
    <n v="286"/>
    <n v="48"/>
    <n v="141"/>
    <n v="6.8158989812024687E-2"/>
  </r>
  <r>
    <x v="306"/>
    <x v="2"/>
    <x v="240"/>
    <x v="6"/>
    <x v="1"/>
    <x v="1"/>
    <n v="805"/>
    <n v="681"/>
    <n v="13"/>
    <n v="0"/>
    <n v="12"/>
    <n v="3.6710719530102791E-2"/>
  </r>
  <r>
    <x v="307"/>
    <x v="0"/>
    <x v="241"/>
    <x v="9"/>
    <x v="1"/>
    <x v="0"/>
    <n v="22335"/>
    <n v="7481"/>
    <n v="117"/>
    <n v="51"/>
    <n v="202"/>
    <n v="4.9458628525598181E-2"/>
  </r>
  <r>
    <x v="308"/>
    <x v="4"/>
    <x v="242"/>
    <x v="0"/>
    <x v="1"/>
    <x v="2"/>
    <n v="21766"/>
    <n v="17113"/>
    <n v="572"/>
    <n v="249"/>
    <n v="239"/>
    <n v="6.1941214281540348E-2"/>
  </r>
  <r>
    <x v="309"/>
    <x v="3"/>
    <x v="196"/>
    <x v="10"/>
    <x v="0"/>
    <x v="3"/>
    <n v="221514"/>
    <n v="79009"/>
    <n v="4522"/>
    <n v="723"/>
    <n v="3424"/>
    <n v="0.10972167727727221"/>
  </r>
  <r>
    <x v="310"/>
    <x v="3"/>
    <x v="243"/>
    <x v="4"/>
    <x v="1"/>
    <x v="2"/>
    <n v="486111"/>
    <n v="244556"/>
    <n v="28634"/>
    <n v="6389"/>
    <n v="6666"/>
    <n v="0.17046811364268308"/>
  </r>
  <r>
    <x v="311"/>
    <x v="1"/>
    <x v="244"/>
    <x v="1"/>
    <x v="1"/>
    <x v="3"/>
    <n v="25657"/>
    <n v="12582"/>
    <n v="378"/>
    <n v="143"/>
    <n v="70"/>
    <n v="4.6971864568431089E-2"/>
  </r>
  <r>
    <x v="312"/>
    <x v="3"/>
    <x v="245"/>
    <x v="1"/>
    <x v="0"/>
    <x v="3"/>
    <n v="217580"/>
    <n v="151146"/>
    <n v="8855"/>
    <n v="3232"/>
    <n v="3214"/>
    <n v="0.10123324467733186"/>
  </r>
  <r>
    <x v="313"/>
    <x v="1"/>
    <x v="246"/>
    <x v="11"/>
    <x v="1"/>
    <x v="4"/>
    <n v="34200"/>
    <n v="16557"/>
    <n v="538"/>
    <n v="120"/>
    <n v="128"/>
    <n v="4.7472368182641785E-2"/>
  </r>
  <r>
    <x v="314"/>
    <x v="0"/>
    <x v="247"/>
    <x v="0"/>
    <x v="0"/>
    <x v="1"/>
    <n v="3795"/>
    <n v="1430"/>
    <n v="25"/>
    <n v="17"/>
    <n v="35"/>
    <n v="5.3846153846153849E-2"/>
  </r>
  <r>
    <x v="315"/>
    <x v="1"/>
    <x v="248"/>
    <x v="8"/>
    <x v="1"/>
    <x v="3"/>
    <n v="94750"/>
    <n v="68512"/>
    <n v="2924"/>
    <n v="257"/>
    <n v="590"/>
    <n v="5.5041452592246611E-2"/>
  </r>
  <r>
    <x v="316"/>
    <x v="3"/>
    <x v="65"/>
    <x v="4"/>
    <x v="0"/>
    <x v="3"/>
    <n v="306186"/>
    <n v="114749"/>
    <n v="11613"/>
    <n v="2656"/>
    <n v="1592"/>
    <n v="0.13822342678367566"/>
  </r>
  <r>
    <x v="317"/>
    <x v="2"/>
    <x v="249"/>
    <x v="10"/>
    <x v="1"/>
    <x v="0"/>
    <n v="13381"/>
    <n v="11208"/>
    <n v="181"/>
    <n v="44"/>
    <n v="92"/>
    <n v="2.8283369022127053E-2"/>
  </r>
  <r>
    <x v="318"/>
    <x v="2"/>
    <x v="250"/>
    <x v="7"/>
    <x v="1"/>
    <x v="0"/>
    <n v="4088"/>
    <n v="2737"/>
    <n v="22"/>
    <n v="14"/>
    <n v="35"/>
    <n v="2.5940811107051515E-2"/>
  </r>
  <r>
    <x v="319"/>
    <x v="3"/>
    <x v="251"/>
    <x v="9"/>
    <x v="0"/>
    <x v="2"/>
    <n v="5598"/>
    <n v="3682"/>
    <n v="386"/>
    <n v="49"/>
    <n v="103"/>
    <n v="0.1461162411732754"/>
  </r>
  <r>
    <x v="320"/>
    <x v="3"/>
    <x v="252"/>
    <x v="4"/>
    <x v="0"/>
    <x v="2"/>
    <n v="306705"/>
    <n v="134992"/>
    <n v="9568"/>
    <n v="3423"/>
    <n v="4805"/>
    <n v="0.13183003437240726"/>
  </r>
  <r>
    <x v="321"/>
    <x v="4"/>
    <x v="253"/>
    <x v="8"/>
    <x v="0"/>
    <x v="2"/>
    <n v="30792"/>
    <n v="12851"/>
    <n v="505"/>
    <n v="316"/>
    <n v="165"/>
    <n v="7.6725546650066145E-2"/>
  </r>
  <r>
    <x v="322"/>
    <x v="1"/>
    <x v="254"/>
    <x v="5"/>
    <x v="0"/>
    <x v="3"/>
    <n v="73153"/>
    <n v="56905"/>
    <n v="1484"/>
    <n v="708"/>
    <n v="160"/>
    <n v="4.1332044635796504E-2"/>
  </r>
  <r>
    <x v="323"/>
    <x v="0"/>
    <x v="255"/>
    <x v="11"/>
    <x v="1"/>
    <x v="1"/>
    <n v="10732"/>
    <n v="3373"/>
    <n v="123"/>
    <n v="36"/>
    <n v="44"/>
    <n v="6.0183812629706492E-2"/>
  </r>
  <r>
    <x v="324"/>
    <x v="1"/>
    <x v="14"/>
    <x v="8"/>
    <x v="1"/>
    <x v="2"/>
    <n v="93195"/>
    <n v="60976"/>
    <n v="3788"/>
    <n v="358"/>
    <n v="80"/>
    <n v="6.9305956441878772E-2"/>
  </r>
  <r>
    <x v="325"/>
    <x v="4"/>
    <x v="256"/>
    <x v="4"/>
    <x v="1"/>
    <x v="1"/>
    <n v="17412"/>
    <n v="7956"/>
    <n v="294"/>
    <n v="74"/>
    <n v="45"/>
    <n v="5.1910507792860737E-2"/>
  </r>
  <r>
    <x v="326"/>
    <x v="1"/>
    <x v="257"/>
    <x v="5"/>
    <x v="0"/>
    <x v="4"/>
    <n v="25766"/>
    <n v="17472"/>
    <n v="398"/>
    <n v="35"/>
    <n v="33"/>
    <n v="2.667124542124542E-2"/>
  </r>
  <r>
    <x v="327"/>
    <x v="4"/>
    <x v="258"/>
    <x v="4"/>
    <x v="0"/>
    <x v="4"/>
    <n v="21648"/>
    <n v="14255"/>
    <n v="236"/>
    <n v="212"/>
    <n v="114"/>
    <n v="3.942476324096808E-2"/>
  </r>
  <r>
    <x v="328"/>
    <x v="0"/>
    <x v="259"/>
    <x v="1"/>
    <x v="0"/>
    <x v="4"/>
    <n v="19688"/>
    <n v="9234"/>
    <n v="144"/>
    <n v="38"/>
    <n v="143"/>
    <n v="3.5196014728178474E-2"/>
  </r>
  <r>
    <x v="329"/>
    <x v="0"/>
    <x v="260"/>
    <x v="11"/>
    <x v="0"/>
    <x v="0"/>
    <n v="8513"/>
    <n v="5731"/>
    <n v="225"/>
    <n v="19"/>
    <n v="32"/>
    <n v="4.8159134531495375E-2"/>
  </r>
  <r>
    <x v="330"/>
    <x v="3"/>
    <x v="261"/>
    <x v="1"/>
    <x v="1"/>
    <x v="3"/>
    <n v="316751"/>
    <n v="111513"/>
    <n v="8271"/>
    <n v="2148"/>
    <n v="5564"/>
    <n v="0.1433285805242438"/>
  </r>
  <r>
    <x v="331"/>
    <x v="4"/>
    <x v="262"/>
    <x v="11"/>
    <x v="1"/>
    <x v="0"/>
    <n v="10552"/>
    <n v="7876"/>
    <n v="129"/>
    <n v="174"/>
    <n v="50"/>
    <n v="4.4819705434230576E-2"/>
  </r>
  <r>
    <x v="332"/>
    <x v="4"/>
    <x v="263"/>
    <x v="11"/>
    <x v="0"/>
    <x v="4"/>
    <n v="19145"/>
    <n v="14594"/>
    <n v="481"/>
    <n v="185"/>
    <n v="191"/>
    <n v="5.8722762779224336E-2"/>
  </r>
  <r>
    <x v="333"/>
    <x v="0"/>
    <x v="264"/>
    <x v="4"/>
    <x v="1"/>
    <x v="4"/>
    <n v="9138"/>
    <n v="4166"/>
    <n v="199"/>
    <n v="16"/>
    <n v="57"/>
    <n v="6.5290446471435434E-2"/>
  </r>
  <r>
    <x v="334"/>
    <x v="0"/>
    <x v="265"/>
    <x v="6"/>
    <x v="0"/>
    <x v="4"/>
    <n v="11044"/>
    <n v="5138"/>
    <n v="96"/>
    <n v="25"/>
    <n v="126"/>
    <n v="4.8073180225768779E-2"/>
  </r>
  <r>
    <x v="335"/>
    <x v="2"/>
    <x v="25"/>
    <x v="8"/>
    <x v="0"/>
    <x v="0"/>
    <n v="12620"/>
    <n v="6694"/>
    <n v="170"/>
    <n v="35"/>
    <n v="66"/>
    <n v="4.0484015536301168E-2"/>
  </r>
  <r>
    <x v="336"/>
    <x v="3"/>
    <x v="266"/>
    <x v="1"/>
    <x v="0"/>
    <x v="2"/>
    <n v="247191"/>
    <n v="128198"/>
    <n v="5433"/>
    <n v="2339"/>
    <n v="2598"/>
    <n v="8.0890497511661649E-2"/>
  </r>
  <r>
    <x v="337"/>
    <x v="4"/>
    <x v="267"/>
    <x v="1"/>
    <x v="0"/>
    <x v="4"/>
    <n v="31709"/>
    <n v="25229"/>
    <n v="1330"/>
    <n v="383"/>
    <n v="261"/>
    <n v="7.8243291450315111E-2"/>
  </r>
  <r>
    <x v="338"/>
    <x v="0"/>
    <x v="268"/>
    <x v="3"/>
    <x v="1"/>
    <x v="0"/>
    <n v="29217"/>
    <n v="17521"/>
    <n v="533"/>
    <n v="125"/>
    <n v="231"/>
    <n v="5.0739113064322813E-2"/>
  </r>
  <r>
    <x v="339"/>
    <x v="1"/>
    <x v="269"/>
    <x v="5"/>
    <x v="0"/>
    <x v="1"/>
    <n v="8066"/>
    <n v="4863"/>
    <n v="215"/>
    <n v="20"/>
    <n v="17"/>
    <n v="5.1819864281307831E-2"/>
  </r>
  <r>
    <x v="340"/>
    <x v="3"/>
    <x v="96"/>
    <x v="10"/>
    <x v="0"/>
    <x v="2"/>
    <n v="264047"/>
    <n v="81476"/>
    <n v="3479"/>
    <n v="618"/>
    <n v="2604"/>
    <n v="8.224507830526781E-2"/>
  </r>
  <r>
    <x v="341"/>
    <x v="4"/>
    <x v="193"/>
    <x v="11"/>
    <x v="1"/>
    <x v="1"/>
    <n v="13164"/>
    <n v="10464"/>
    <n v="408"/>
    <n v="208"/>
    <n v="78"/>
    <n v="6.6322629969418956E-2"/>
  </r>
  <r>
    <x v="342"/>
    <x v="3"/>
    <x v="270"/>
    <x v="2"/>
    <x v="0"/>
    <x v="3"/>
    <n v="56416"/>
    <n v="35535"/>
    <n v="3399"/>
    <n v="1056"/>
    <n v="1427"/>
    <n v="0.16552694526523146"/>
  </r>
  <r>
    <x v="343"/>
    <x v="0"/>
    <x v="271"/>
    <x v="4"/>
    <x v="1"/>
    <x v="1"/>
    <n v="28841"/>
    <n v="15199"/>
    <n v="437"/>
    <n v="62"/>
    <n v="345"/>
    <n v="5.5529969076912954E-2"/>
  </r>
  <r>
    <x v="344"/>
    <x v="3"/>
    <x v="272"/>
    <x v="9"/>
    <x v="0"/>
    <x v="3"/>
    <n v="214985"/>
    <n v="119268"/>
    <n v="6728"/>
    <n v="1472"/>
    <n v="5666"/>
    <n v="0.11625918100412516"/>
  </r>
  <r>
    <x v="345"/>
    <x v="0"/>
    <x v="273"/>
    <x v="4"/>
    <x v="1"/>
    <x v="4"/>
    <n v="31504"/>
    <n v="10696"/>
    <n v="231"/>
    <n v="128"/>
    <n v="219"/>
    <n v="5.403889304412865E-2"/>
  </r>
  <r>
    <x v="346"/>
    <x v="3"/>
    <x v="274"/>
    <x v="3"/>
    <x v="1"/>
    <x v="3"/>
    <n v="102103"/>
    <n v="54662"/>
    <n v="2050"/>
    <n v="308"/>
    <n v="1227"/>
    <n v="6.558486700084154E-2"/>
  </r>
  <r>
    <x v="347"/>
    <x v="2"/>
    <x v="275"/>
    <x v="1"/>
    <x v="0"/>
    <x v="0"/>
    <n v="19717"/>
    <n v="14350"/>
    <n v="404"/>
    <n v="78"/>
    <n v="69"/>
    <n v="3.8397212543554007E-2"/>
  </r>
  <r>
    <x v="348"/>
    <x v="1"/>
    <x v="276"/>
    <x v="8"/>
    <x v="1"/>
    <x v="4"/>
    <n v="7459"/>
    <n v="4885"/>
    <n v="118"/>
    <n v="27"/>
    <n v="33"/>
    <n v="3.6438075742067554E-2"/>
  </r>
  <r>
    <x v="349"/>
    <x v="2"/>
    <x v="277"/>
    <x v="5"/>
    <x v="0"/>
    <x v="1"/>
    <n v="22811"/>
    <n v="18298"/>
    <n v="108"/>
    <n v="101"/>
    <n v="201"/>
    <n v="2.2406820417531972E-2"/>
  </r>
  <r>
    <x v="350"/>
    <x v="1"/>
    <x v="278"/>
    <x v="0"/>
    <x v="0"/>
    <x v="4"/>
    <n v="73989"/>
    <n v="54712"/>
    <n v="1906"/>
    <n v="183"/>
    <n v="526"/>
    <n v="4.7795730369937124E-2"/>
  </r>
  <r>
    <x v="351"/>
    <x v="4"/>
    <x v="279"/>
    <x v="9"/>
    <x v="0"/>
    <x v="2"/>
    <n v="2343"/>
    <n v="1773"/>
    <n v="62"/>
    <n v="23"/>
    <n v="8"/>
    <n v="5.2453468697123522E-2"/>
  </r>
  <r>
    <x v="352"/>
    <x v="1"/>
    <x v="280"/>
    <x v="3"/>
    <x v="0"/>
    <x v="4"/>
    <n v="66048"/>
    <n v="36305"/>
    <n v="1924"/>
    <n v="108"/>
    <n v="339"/>
    <n v="6.5307808841757339E-2"/>
  </r>
  <r>
    <x v="353"/>
    <x v="1"/>
    <x v="138"/>
    <x v="2"/>
    <x v="1"/>
    <x v="4"/>
    <n v="27305"/>
    <n v="17772"/>
    <n v="659"/>
    <n v="261"/>
    <n v="143"/>
    <n v="5.9813189286518118E-2"/>
  </r>
  <r>
    <x v="354"/>
    <x v="3"/>
    <x v="281"/>
    <x v="1"/>
    <x v="1"/>
    <x v="2"/>
    <n v="361953"/>
    <n v="125768"/>
    <n v="4600"/>
    <n v="3755"/>
    <n v="4516"/>
    <n v="0.10233922778449209"/>
  </r>
  <r>
    <x v="355"/>
    <x v="3"/>
    <x v="135"/>
    <x v="8"/>
    <x v="0"/>
    <x v="2"/>
    <n v="263357"/>
    <n v="95152"/>
    <n v="2884"/>
    <n v="2099"/>
    <n v="2917"/>
    <n v="8.302505464940306E-2"/>
  </r>
  <r>
    <x v="356"/>
    <x v="1"/>
    <x v="282"/>
    <x v="4"/>
    <x v="1"/>
    <x v="1"/>
    <n v="23966"/>
    <n v="17467"/>
    <n v="901"/>
    <n v="248"/>
    <n v="73"/>
    <n v="6.9960496937081354E-2"/>
  </r>
  <r>
    <x v="357"/>
    <x v="1"/>
    <x v="283"/>
    <x v="5"/>
    <x v="1"/>
    <x v="4"/>
    <n v="52418"/>
    <n v="25581"/>
    <n v="572"/>
    <n v="122"/>
    <n v="122"/>
    <n v="3.1898674797701421E-2"/>
  </r>
  <r>
    <x v="358"/>
    <x v="0"/>
    <x v="236"/>
    <x v="0"/>
    <x v="1"/>
    <x v="4"/>
    <n v="31576"/>
    <n v="10027"/>
    <n v="190"/>
    <n v="74"/>
    <n v="116"/>
    <n v="3.7897676274060037E-2"/>
  </r>
  <r>
    <x v="359"/>
    <x v="1"/>
    <x v="284"/>
    <x v="1"/>
    <x v="0"/>
    <x v="3"/>
    <n v="87496"/>
    <n v="66728"/>
    <n v="2518"/>
    <n v="635"/>
    <n v="565"/>
    <n v="5.5718738760340489E-2"/>
  </r>
  <r>
    <x v="360"/>
    <x v="1"/>
    <x v="285"/>
    <x v="1"/>
    <x v="0"/>
    <x v="3"/>
    <n v="43720"/>
    <n v="34730"/>
    <n v="779"/>
    <n v="414"/>
    <n v="346"/>
    <n v="4.4313273826662829E-2"/>
  </r>
  <r>
    <x v="361"/>
    <x v="4"/>
    <x v="249"/>
    <x v="10"/>
    <x v="1"/>
    <x v="1"/>
    <n v="12715"/>
    <n v="7180"/>
    <n v="301"/>
    <n v="39"/>
    <n v="79"/>
    <n v="5.8356545961002787E-2"/>
  </r>
  <r>
    <x v="362"/>
    <x v="3"/>
    <x v="286"/>
    <x v="6"/>
    <x v="1"/>
    <x v="3"/>
    <n v="432919"/>
    <n v="263375"/>
    <n v="29207"/>
    <n v="5184"/>
    <n v="12263"/>
    <n v="0.1771390602752729"/>
  </r>
  <r>
    <x v="363"/>
    <x v="0"/>
    <x v="287"/>
    <x v="11"/>
    <x v="0"/>
    <x v="1"/>
    <n v="18210"/>
    <n v="9939"/>
    <n v="359"/>
    <n v="152"/>
    <n v="64"/>
    <n v="5.785290270650971E-2"/>
  </r>
  <r>
    <x v="364"/>
    <x v="0"/>
    <x v="288"/>
    <x v="7"/>
    <x v="0"/>
    <x v="1"/>
    <n v="2650"/>
    <n v="1102"/>
    <n v="40"/>
    <n v="11"/>
    <n v="24"/>
    <n v="6.8058076225045366E-2"/>
  </r>
  <r>
    <x v="365"/>
    <x v="3"/>
    <x v="129"/>
    <x v="4"/>
    <x v="0"/>
    <x v="3"/>
    <n v="89043"/>
    <n v="57240"/>
    <n v="2889"/>
    <n v="744"/>
    <n v="966"/>
    <n v="8.0345911949685531E-2"/>
  </r>
  <r>
    <x v="366"/>
    <x v="0"/>
    <x v="219"/>
    <x v="2"/>
    <x v="0"/>
    <x v="2"/>
    <n v="32036"/>
    <n v="18733"/>
    <n v="743"/>
    <n v="277"/>
    <n v="110"/>
    <n v="6.0321358031281698E-2"/>
  </r>
  <r>
    <x v="367"/>
    <x v="3"/>
    <x v="20"/>
    <x v="4"/>
    <x v="0"/>
    <x v="3"/>
    <n v="162673"/>
    <n v="75395"/>
    <n v="7190"/>
    <n v="1831"/>
    <n v="2015"/>
    <n v="0.14637575436036873"/>
  </r>
  <r>
    <x v="368"/>
    <x v="1"/>
    <x v="194"/>
    <x v="8"/>
    <x v="0"/>
    <x v="2"/>
    <n v="31659"/>
    <n v="15454"/>
    <n v="520"/>
    <n v="103"/>
    <n v="117"/>
    <n v="4.788404296622234E-2"/>
  </r>
  <r>
    <x v="369"/>
    <x v="3"/>
    <x v="185"/>
    <x v="3"/>
    <x v="0"/>
    <x v="2"/>
    <n v="280772"/>
    <n v="95901"/>
    <n v="8535"/>
    <n v="2589"/>
    <n v="1470"/>
    <n v="0.13132292676822974"/>
  </r>
  <r>
    <x v="370"/>
    <x v="3"/>
    <x v="19"/>
    <x v="7"/>
    <x v="0"/>
    <x v="2"/>
    <n v="28931"/>
    <n v="14251"/>
    <n v="1634"/>
    <n v="204"/>
    <n v="597"/>
    <n v="0.1708652024419339"/>
  </r>
  <r>
    <x v="371"/>
    <x v="3"/>
    <x v="289"/>
    <x v="7"/>
    <x v="1"/>
    <x v="2"/>
    <n v="48646"/>
    <n v="15711"/>
    <n v="1465"/>
    <n v="141"/>
    <n v="499"/>
    <n v="0.13398255998981606"/>
  </r>
  <r>
    <x v="372"/>
    <x v="3"/>
    <x v="290"/>
    <x v="1"/>
    <x v="0"/>
    <x v="3"/>
    <n v="185450"/>
    <n v="104771"/>
    <n v="11675"/>
    <n v="1750"/>
    <n v="5190"/>
    <n v="0.17767321109849099"/>
  </r>
  <r>
    <x v="373"/>
    <x v="1"/>
    <x v="62"/>
    <x v="11"/>
    <x v="0"/>
    <x v="1"/>
    <n v="4906"/>
    <n v="2588"/>
    <n v="151"/>
    <n v="33"/>
    <n v="17"/>
    <n v="7.7666151468315306E-2"/>
  </r>
  <r>
    <x v="374"/>
    <x v="0"/>
    <x v="291"/>
    <x v="5"/>
    <x v="1"/>
    <x v="2"/>
    <n v="85302"/>
    <n v="32381"/>
    <n v="1051"/>
    <n v="160"/>
    <n v="503"/>
    <n v="5.2932275099595444E-2"/>
  </r>
  <r>
    <x v="375"/>
    <x v="0"/>
    <x v="292"/>
    <x v="5"/>
    <x v="0"/>
    <x v="2"/>
    <n v="36362"/>
    <n v="22850"/>
    <n v="994"/>
    <n v="361"/>
    <n v="578"/>
    <n v="8.4595185995623629E-2"/>
  </r>
  <r>
    <x v="376"/>
    <x v="2"/>
    <x v="293"/>
    <x v="8"/>
    <x v="1"/>
    <x v="1"/>
    <n v="19564"/>
    <n v="14673"/>
    <n v="312"/>
    <n v="19"/>
    <n v="39"/>
    <n v="2.5216383834253391E-2"/>
  </r>
  <r>
    <x v="377"/>
    <x v="3"/>
    <x v="127"/>
    <x v="0"/>
    <x v="0"/>
    <x v="3"/>
    <n v="142015"/>
    <n v="97331"/>
    <n v="11113"/>
    <n v="2751"/>
    <n v="3416"/>
    <n v="0.17753850263533716"/>
  </r>
  <r>
    <x v="378"/>
    <x v="3"/>
    <x v="8"/>
    <x v="0"/>
    <x v="1"/>
    <x v="2"/>
    <n v="396464"/>
    <n v="212977"/>
    <n v="20430"/>
    <n v="2808"/>
    <n v="4420"/>
    <n v="0.1298637881085751"/>
  </r>
  <r>
    <x v="379"/>
    <x v="1"/>
    <x v="8"/>
    <x v="0"/>
    <x v="1"/>
    <x v="2"/>
    <n v="65239"/>
    <n v="26279"/>
    <n v="1270"/>
    <n v="138"/>
    <n v="249"/>
    <n v="6.3054149701282397E-2"/>
  </r>
  <r>
    <x v="380"/>
    <x v="3"/>
    <x v="32"/>
    <x v="10"/>
    <x v="1"/>
    <x v="2"/>
    <n v="481371"/>
    <n v="293652"/>
    <n v="12277"/>
    <n v="2977"/>
    <n v="13325"/>
    <n v="9.7322681268985051E-2"/>
  </r>
  <r>
    <x v="381"/>
    <x v="4"/>
    <x v="294"/>
    <x v="0"/>
    <x v="0"/>
    <x v="2"/>
    <n v="33792"/>
    <n v="18124"/>
    <n v="615"/>
    <n v="436"/>
    <n v="149"/>
    <n v="6.621054954756124E-2"/>
  </r>
  <r>
    <x v="382"/>
    <x v="3"/>
    <x v="295"/>
    <x v="7"/>
    <x v="1"/>
    <x v="3"/>
    <n v="273471"/>
    <n v="103519"/>
    <n v="3885"/>
    <n v="2204"/>
    <n v="4347"/>
    <n v="0.10081241124817666"/>
  </r>
  <r>
    <x v="383"/>
    <x v="1"/>
    <x v="296"/>
    <x v="10"/>
    <x v="0"/>
    <x v="1"/>
    <n v="18169"/>
    <n v="12346"/>
    <n v="599"/>
    <n v="154"/>
    <n v="120"/>
    <n v="7.0711161509800752E-2"/>
  </r>
  <r>
    <x v="384"/>
    <x v="3"/>
    <x v="297"/>
    <x v="4"/>
    <x v="0"/>
    <x v="3"/>
    <n v="219497"/>
    <n v="107091"/>
    <n v="4415"/>
    <n v="1194"/>
    <n v="1427"/>
    <n v="6.57011326815512E-2"/>
  </r>
  <r>
    <x v="385"/>
    <x v="4"/>
    <x v="159"/>
    <x v="3"/>
    <x v="0"/>
    <x v="1"/>
    <n v="9396"/>
    <n v="6993"/>
    <n v="331"/>
    <n v="161"/>
    <n v="55"/>
    <n v="7.8221078221078225E-2"/>
  </r>
  <r>
    <x v="386"/>
    <x v="1"/>
    <x v="275"/>
    <x v="1"/>
    <x v="0"/>
    <x v="1"/>
    <n v="49233"/>
    <n v="30264"/>
    <n v="2221"/>
    <n v="448"/>
    <n v="279"/>
    <n v="9.7409463388844833E-2"/>
  </r>
  <r>
    <x v="387"/>
    <x v="0"/>
    <x v="298"/>
    <x v="11"/>
    <x v="0"/>
    <x v="0"/>
    <n v="12764"/>
    <n v="6001"/>
    <n v="157"/>
    <n v="55"/>
    <n v="76"/>
    <n v="4.7992001333111149E-2"/>
  </r>
  <r>
    <x v="388"/>
    <x v="1"/>
    <x v="299"/>
    <x v="3"/>
    <x v="0"/>
    <x v="4"/>
    <n v="64438"/>
    <n v="48960"/>
    <n v="2962"/>
    <n v="531"/>
    <n v="213"/>
    <n v="7.5694444444444439E-2"/>
  </r>
  <r>
    <x v="389"/>
    <x v="2"/>
    <x v="300"/>
    <x v="9"/>
    <x v="0"/>
    <x v="2"/>
    <n v="18371"/>
    <n v="16355"/>
    <n v="376"/>
    <n v="28"/>
    <n v="65"/>
    <n v="2.8676245796392542E-2"/>
  </r>
  <r>
    <x v="390"/>
    <x v="1"/>
    <x v="301"/>
    <x v="11"/>
    <x v="0"/>
    <x v="3"/>
    <n v="32912"/>
    <n v="20778"/>
    <n v="1433"/>
    <n v="190"/>
    <n v="55"/>
    <n v="8.0758494561555497E-2"/>
  </r>
  <r>
    <x v="391"/>
    <x v="0"/>
    <x v="10"/>
    <x v="6"/>
    <x v="1"/>
    <x v="1"/>
    <n v="3002"/>
    <n v="1192"/>
    <n v="20"/>
    <n v="22"/>
    <n v="31"/>
    <n v="6.1241610738255035E-2"/>
  </r>
  <r>
    <x v="392"/>
    <x v="1"/>
    <x v="302"/>
    <x v="3"/>
    <x v="1"/>
    <x v="4"/>
    <n v="32223"/>
    <n v="20809"/>
    <n v="652"/>
    <n v="263"/>
    <n v="160"/>
    <n v="5.166033927627469E-2"/>
  </r>
  <r>
    <x v="393"/>
    <x v="1"/>
    <x v="303"/>
    <x v="3"/>
    <x v="0"/>
    <x v="4"/>
    <n v="69821"/>
    <n v="36732"/>
    <n v="882"/>
    <n v="250"/>
    <n v="84"/>
    <n v="3.3104649896547968E-2"/>
  </r>
  <r>
    <x v="394"/>
    <x v="2"/>
    <x v="304"/>
    <x v="2"/>
    <x v="1"/>
    <x v="1"/>
    <n v="12511"/>
    <n v="6678"/>
    <n v="169"/>
    <n v="42"/>
    <n v="126"/>
    <n v="5.0464210841569331E-2"/>
  </r>
  <r>
    <x v="395"/>
    <x v="4"/>
    <x v="305"/>
    <x v="0"/>
    <x v="1"/>
    <x v="1"/>
    <n v="8567"/>
    <n v="5327"/>
    <n v="156"/>
    <n v="45"/>
    <n v="19"/>
    <n v="4.1299042613103062E-2"/>
  </r>
  <r>
    <x v="396"/>
    <x v="0"/>
    <x v="306"/>
    <x v="9"/>
    <x v="0"/>
    <x v="4"/>
    <n v="31744"/>
    <n v="14540"/>
    <n v="478"/>
    <n v="203"/>
    <n v="290"/>
    <n v="6.6781292984869331E-2"/>
  </r>
  <r>
    <x v="397"/>
    <x v="4"/>
    <x v="307"/>
    <x v="9"/>
    <x v="0"/>
    <x v="1"/>
    <n v="7127"/>
    <n v="5162"/>
    <n v="164"/>
    <n v="127"/>
    <n v="66"/>
    <n v="6.9159240604416888E-2"/>
  </r>
  <r>
    <x v="398"/>
    <x v="4"/>
    <x v="308"/>
    <x v="2"/>
    <x v="0"/>
    <x v="2"/>
    <n v="21322"/>
    <n v="15829"/>
    <n v="310"/>
    <n v="374"/>
    <n v="89"/>
    <n v="4.8834417840672183E-2"/>
  </r>
  <r>
    <x v="399"/>
    <x v="2"/>
    <x v="208"/>
    <x v="5"/>
    <x v="1"/>
    <x v="2"/>
    <n v="2785"/>
    <n v="2312"/>
    <n v="68"/>
    <n v="13"/>
    <n v="16"/>
    <n v="4.195501730103806E-2"/>
  </r>
  <r>
    <x v="400"/>
    <x v="2"/>
    <x v="309"/>
    <x v="3"/>
    <x v="0"/>
    <x v="1"/>
    <n v="6106"/>
    <n v="3287"/>
    <n v="57"/>
    <n v="26"/>
    <n v="41"/>
    <n v="3.7724368725281412E-2"/>
  </r>
  <r>
    <x v="401"/>
    <x v="3"/>
    <x v="160"/>
    <x v="6"/>
    <x v="1"/>
    <x v="2"/>
    <n v="184139"/>
    <n v="107085"/>
    <n v="9649"/>
    <n v="1976"/>
    <n v="1806"/>
    <n v="0.12542372881355932"/>
  </r>
  <r>
    <x v="402"/>
    <x v="4"/>
    <x v="310"/>
    <x v="11"/>
    <x v="0"/>
    <x v="4"/>
    <n v="26764"/>
    <n v="10706"/>
    <n v="440"/>
    <n v="206"/>
    <n v="40"/>
    <n v="6.4076218942648977E-2"/>
  </r>
  <r>
    <x v="403"/>
    <x v="2"/>
    <x v="170"/>
    <x v="1"/>
    <x v="1"/>
    <x v="2"/>
    <n v="49797"/>
    <n v="31336"/>
    <n v="561"/>
    <n v="147"/>
    <n v="573"/>
    <n v="4.0879499617053866E-2"/>
  </r>
  <r>
    <x v="404"/>
    <x v="1"/>
    <x v="30"/>
    <x v="7"/>
    <x v="0"/>
    <x v="1"/>
    <n v="35525"/>
    <n v="25161"/>
    <n v="893"/>
    <n v="251"/>
    <n v="47"/>
    <n v="4.7335161559556457E-2"/>
  </r>
  <r>
    <x v="405"/>
    <x v="1"/>
    <x v="201"/>
    <x v="7"/>
    <x v="0"/>
    <x v="2"/>
    <n v="19195"/>
    <n v="15085"/>
    <n v="1100"/>
    <n v="42"/>
    <n v="87"/>
    <n v="8.1471660589990058E-2"/>
  </r>
  <r>
    <x v="406"/>
    <x v="3"/>
    <x v="311"/>
    <x v="4"/>
    <x v="1"/>
    <x v="3"/>
    <n v="46574"/>
    <n v="18250"/>
    <n v="616"/>
    <n v="489"/>
    <n v="822"/>
    <n v="0.10558904109589042"/>
  </r>
  <r>
    <x v="407"/>
    <x v="2"/>
    <x v="312"/>
    <x v="8"/>
    <x v="1"/>
    <x v="2"/>
    <n v="11288"/>
    <n v="9803"/>
    <n v="183"/>
    <n v="71"/>
    <n v="172"/>
    <n v="4.3456084871977968E-2"/>
  </r>
  <r>
    <x v="408"/>
    <x v="1"/>
    <x v="313"/>
    <x v="11"/>
    <x v="0"/>
    <x v="4"/>
    <n v="28606"/>
    <n v="20603"/>
    <n v="1524"/>
    <n v="200"/>
    <n v="124"/>
    <n v="8.9695675387079551E-2"/>
  </r>
  <r>
    <x v="409"/>
    <x v="2"/>
    <x v="314"/>
    <x v="4"/>
    <x v="0"/>
    <x v="1"/>
    <n v="14074"/>
    <n v="12291"/>
    <n v="200"/>
    <n v="83"/>
    <n v="116"/>
    <n v="3.2462777642177205E-2"/>
  </r>
  <r>
    <x v="410"/>
    <x v="0"/>
    <x v="315"/>
    <x v="11"/>
    <x v="1"/>
    <x v="2"/>
    <n v="59270"/>
    <n v="26853"/>
    <n v="662"/>
    <n v="429"/>
    <n v="453"/>
    <n v="5.749823111011805E-2"/>
  </r>
  <r>
    <x v="411"/>
    <x v="0"/>
    <x v="316"/>
    <x v="1"/>
    <x v="0"/>
    <x v="2"/>
    <n v="75915"/>
    <n v="40960"/>
    <n v="1949"/>
    <n v="534"/>
    <n v="352"/>
    <n v="6.92138671875E-2"/>
  </r>
  <r>
    <x v="412"/>
    <x v="1"/>
    <x v="211"/>
    <x v="6"/>
    <x v="0"/>
    <x v="2"/>
    <n v="72976"/>
    <n v="47147"/>
    <n v="1145"/>
    <n v="503"/>
    <n v="360"/>
    <n v="4.2590196619084988E-2"/>
  </r>
  <r>
    <x v="413"/>
    <x v="1"/>
    <x v="239"/>
    <x v="9"/>
    <x v="0"/>
    <x v="3"/>
    <n v="84491"/>
    <n v="47181"/>
    <n v="1531"/>
    <n v="410"/>
    <n v="254"/>
    <n v="4.6522964752760645E-2"/>
  </r>
  <r>
    <x v="414"/>
    <x v="1"/>
    <x v="169"/>
    <x v="6"/>
    <x v="1"/>
    <x v="4"/>
    <n v="41900"/>
    <n v="25392"/>
    <n v="557"/>
    <n v="158"/>
    <n v="145"/>
    <n v="3.3868935097668557E-2"/>
  </r>
  <r>
    <x v="415"/>
    <x v="1"/>
    <x v="317"/>
    <x v="1"/>
    <x v="0"/>
    <x v="4"/>
    <n v="2092"/>
    <n v="1004"/>
    <n v="23"/>
    <n v="13"/>
    <n v="3"/>
    <n v="3.8844621513944223E-2"/>
  </r>
  <r>
    <x v="416"/>
    <x v="3"/>
    <x v="81"/>
    <x v="6"/>
    <x v="1"/>
    <x v="3"/>
    <n v="74779"/>
    <n v="35446"/>
    <n v="2176"/>
    <n v="1055"/>
    <n v="1520"/>
    <n v="0.13403486994301189"/>
  </r>
  <r>
    <x v="417"/>
    <x v="4"/>
    <x v="318"/>
    <x v="11"/>
    <x v="1"/>
    <x v="0"/>
    <n v="9916"/>
    <n v="7511"/>
    <n v="307"/>
    <n v="78"/>
    <n v="100"/>
    <n v="6.4571961123685268E-2"/>
  </r>
  <r>
    <x v="418"/>
    <x v="0"/>
    <x v="232"/>
    <x v="9"/>
    <x v="1"/>
    <x v="0"/>
    <n v="4445"/>
    <n v="2252"/>
    <n v="43"/>
    <n v="16"/>
    <n v="36"/>
    <n v="4.2184724689165183E-2"/>
  </r>
  <r>
    <x v="419"/>
    <x v="2"/>
    <x v="64"/>
    <x v="0"/>
    <x v="0"/>
    <x v="0"/>
    <n v="22072"/>
    <n v="19403"/>
    <n v="308"/>
    <n v="40"/>
    <n v="356"/>
    <n v="3.628304901303922E-2"/>
  </r>
  <r>
    <x v="420"/>
    <x v="3"/>
    <x v="219"/>
    <x v="2"/>
    <x v="0"/>
    <x v="3"/>
    <n v="30790"/>
    <n v="15756"/>
    <n v="1096"/>
    <n v="467"/>
    <n v="541"/>
    <n v="0.13353643056613354"/>
  </r>
  <r>
    <x v="421"/>
    <x v="3"/>
    <x v="319"/>
    <x v="5"/>
    <x v="0"/>
    <x v="2"/>
    <n v="251932"/>
    <n v="111570"/>
    <n v="8185"/>
    <n v="2293"/>
    <n v="2855"/>
    <n v="0.11950345074840907"/>
  </r>
  <r>
    <x v="422"/>
    <x v="0"/>
    <x v="320"/>
    <x v="1"/>
    <x v="1"/>
    <x v="4"/>
    <n v="30992"/>
    <n v="20919"/>
    <n v="603"/>
    <n v="409"/>
    <n v="243"/>
    <n v="5.9993307519479899E-2"/>
  </r>
  <r>
    <x v="423"/>
    <x v="3"/>
    <x v="224"/>
    <x v="1"/>
    <x v="0"/>
    <x v="3"/>
    <n v="143707"/>
    <n v="79032"/>
    <n v="9168"/>
    <n v="2327"/>
    <n v="3788"/>
    <n v="0.19337736613017512"/>
  </r>
  <r>
    <x v="424"/>
    <x v="2"/>
    <x v="177"/>
    <x v="7"/>
    <x v="0"/>
    <x v="1"/>
    <n v="4868"/>
    <n v="2740"/>
    <n v="38"/>
    <n v="19"/>
    <n v="16"/>
    <n v="2.6642335766423358E-2"/>
  </r>
  <r>
    <x v="425"/>
    <x v="2"/>
    <x v="220"/>
    <x v="4"/>
    <x v="1"/>
    <x v="0"/>
    <n v="21535"/>
    <n v="12055"/>
    <n v="361"/>
    <n v="29"/>
    <n v="205"/>
    <n v="4.9357113231024471E-2"/>
  </r>
  <r>
    <x v="426"/>
    <x v="1"/>
    <x v="321"/>
    <x v="3"/>
    <x v="1"/>
    <x v="2"/>
    <n v="72066"/>
    <n v="37138"/>
    <n v="948"/>
    <n v="470"/>
    <n v="278"/>
    <n v="4.5667510366740265E-2"/>
  </r>
  <r>
    <x v="427"/>
    <x v="2"/>
    <x v="322"/>
    <x v="2"/>
    <x v="0"/>
    <x v="1"/>
    <n v="24044"/>
    <n v="17053"/>
    <n v="370"/>
    <n v="101"/>
    <n v="184"/>
    <n v="3.8409663988740982E-2"/>
  </r>
  <r>
    <x v="428"/>
    <x v="1"/>
    <x v="323"/>
    <x v="5"/>
    <x v="0"/>
    <x v="2"/>
    <n v="117879"/>
    <n v="84135"/>
    <n v="3779"/>
    <n v="219"/>
    <n v="331"/>
    <n v="5.1453021929042608E-2"/>
  </r>
  <r>
    <x v="429"/>
    <x v="0"/>
    <x v="97"/>
    <x v="7"/>
    <x v="0"/>
    <x v="1"/>
    <n v="14346"/>
    <n v="9357"/>
    <n v="141"/>
    <n v="163"/>
    <n v="79"/>
    <n v="4.0931922624772896E-2"/>
  </r>
  <r>
    <x v="430"/>
    <x v="4"/>
    <x v="324"/>
    <x v="9"/>
    <x v="0"/>
    <x v="1"/>
    <n v="3303"/>
    <n v="1627"/>
    <n v="45"/>
    <n v="31"/>
    <n v="16"/>
    <n v="5.6545789797172709E-2"/>
  </r>
  <r>
    <x v="431"/>
    <x v="2"/>
    <x v="166"/>
    <x v="7"/>
    <x v="1"/>
    <x v="1"/>
    <n v="7765"/>
    <n v="5378"/>
    <n v="111"/>
    <n v="15"/>
    <n v="26"/>
    <n v="2.8263294905169208E-2"/>
  </r>
  <r>
    <x v="432"/>
    <x v="0"/>
    <x v="325"/>
    <x v="9"/>
    <x v="0"/>
    <x v="4"/>
    <n v="21592"/>
    <n v="8602"/>
    <n v="123"/>
    <n v="161"/>
    <n v="152"/>
    <n v="5.0685887003022553E-2"/>
  </r>
  <r>
    <x v="433"/>
    <x v="2"/>
    <x v="326"/>
    <x v="11"/>
    <x v="0"/>
    <x v="1"/>
    <n v="13531"/>
    <n v="11061"/>
    <n v="55"/>
    <n v="40"/>
    <n v="183"/>
    <n v="2.5133351414881114E-2"/>
  </r>
  <r>
    <x v="434"/>
    <x v="1"/>
    <x v="327"/>
    <x v="2"/>
    <x v="0"/>
    <x v="3"/>
    <n v="87545"/>
    <n v="56804"/>
    <n v="3480"/>
    <n v="778"/>
    <n v="443"/>
    <n v="8.2758256460812613E-2"/>
  </r>
  <r>
    <x v="435"/>
    <x v="1"/>
    <x v="235"/>
    <x v="8"/>
    <x v="1"/>
    <x v="3"/>
    <n v="30509"/>
    <n v="19164"/>
    <n v="769"/>
    <n v="216"/>
    <n v="43"/>
    <n v="5.3642245877687331E-2"/>
  </r>
  <r>
    <x v="436"/>
    <x v="1"/>
    <x v="45"/>
    <x v="10"/>
    <x v="1"/>
    <x v="4"/>
    <n v="53167"/>
    <n v="23514"/>
    <n v="1779"/>
    <n v="332"/>
    <n v="44"/>
    <n v="9.1647529131581182E-2"/>
  </r>
  <r>
    <x v="437"/>
    <x v="0"/>
    <x v="328"/>
    <x v="5"/>
    <x v="1"/>
    <x v="1"/>
    <n v="22118"/>
    <n v="10636"/>
    <n v="350"/>
    <n v="171"/>
    <n v="189"/>
    <n v="6.6754418954494174E-2"/>
  </r>
  <r>
    <x v="438"/>
    <x v="3"/>
    <x v="329"/>
    <x v="3"/>
    <x v="0"/>
    <x v="3"/>
    <n v="6518"/>
    <n v="4208"/>
    <n v="456"/>
    <n v="113"/>
    <n v="50"/>
    <n v="0.14710076045627377"/>
  </r>
  <r>
    <x v="439"/>
    <x v="1"/>
    <x v="330"/>
    <x v="10"/>
    <x v="0"/>
    <x v="4"/>
    <n v="57148"/>
    <n v="44870"/>
    <n v="1514"/>
    <n v="359"/>
    <n v="292"/>
    <n v="4.8250501448629371E-2"/>
  </r>
  <r>
    <x v="440"/>
    <x v="0"/>
    <x v="229"/>
    <x v="6"/>
    <x v="1"/>
    <x v="1"/>
    <n v="9102"/>
    <n v="5221"/>
    <n v="83"/>
    <n v="19"/>
    <n v="36"/>
    <n v="2.643171806167401E-2"/>
  </r>
  <r>
    <x v="441"/>
    <x v="3"/>
    <x v="150"/>
    <x v="1"/>
    <x v="1"/>
    <x v="3"/>
    <n v="392291"/>
    <n v="211695"/>
    <n v="17800"/>
    <n v="3874"/>
    <n v="5323"/>
    <n v="0.1275278112378658"/>
  </r>
  <r>
    <x v="442"/>
    <x v="3"/>
    <x v="331"/>
    <x v="8"/>
    <x v="1"/>
    <x v="3"/>
    <n v="82125"/>
    <n v="30012"/>
    <n v="2121"/>
    <n v="621"/>
    <n v="1487"/>
    <n v="0.1409103025456484"/>
  </r>
  <r>
    <x v="443"/>
    <x v="3"/>
    <x v="188"/>
    <x v="10"/>
    <x v="0"/>
    <x v="3"/>
    <n v="225458"/>
    <n v="132441"/>
    <n v="8363"/>
    <n v="1585"/>
    <n v="3594"/>
    <n v="0.102249303463429"/>
  </r>
  <r>
    <x v="444"/>
    <x v="2"/>
    <x v="332"/>
    <x v="6"/>
    <x v="1"/>
    <x v="2"/>
    <n v="31441"/>
    <n v="22917"/>
    <n v="633"/>
    <n v="99"/>
    <n v="79"/>
    <n v="3.5388576166164858E-2"/>
  </r>
  <r>
    <x v="445"/>
    <x v="1"/>
    <x v="333"/>
    <x v="11"/>
    <x v="1"/>
    <x v="4"/>
    <n v="68693"/>
    <n v="35653"/>
    <n v="896"/>
    <n v="435"/>
    <n v="174"/>
    <n v="4.2212436541104535E-2"/>
  </r>
  <r>
    <x v="446"/>
    <x v="3"/>
    <x v="60"/>
    <x v="5"/>
    <x v="1"/>
    <x v="3"/>
    <n v="288296"/>
    <n v="88273"/>
    <n v="4066"/>
    <n v="1872"/>
    <n v="3760"/>
    <n v="0.10986371823773974"/>
  </r>
  <r>
    <x v="447"/>
    <x v="0"/>
    <x v="334"/>
    <x v="5"/>
    <x v="0"/>
    <x v="0"/>
    <n v="1023"/>
    <n v="695"/>
    <n v="30"/>
    <n v="9"/>
    <n v="12"/>
    <n v="7.3381294964028773E-2"/>
  </r>
  <r>
    <x v="448"/>
    <x v="2"/>
    <x v="54"/>
    <x v="0"/>
    <x v="1"/>
    <x v="2"/>
    <n v="3481"/>
    <n v="2768"/>
    <n v="41"/>
    <n v="19"/>
    <n v="36"/>
    <n v="3.4682080924855488E-2"/>
  </r>
  <r>
    <x v="449"/>
    <x v="4"/>
    <x v="96"/>
    <x v="10"/>
    <x v="0"/>
    <x v="0"/>
    <n v="18614"/>
    <n v="13525"/>
    <n v="446"/>
    <n v="168"/>
    <n v="149"/>
    <n v="5.6414048059149721E-2"/>
  </r>
  <r>
    <x v="450"/>
    <x v="2"/>
    <x v="53"/>
    <x v="8"/>
    <x v="0"/>
    <x v="2"/>
    <n v="29996"/>
    <n v="16944"/>
    <n v="288"/>
    <n v="71"/>
    <n v="93"/>
    <n v="2.667610953729934E-2"/>
  </r>
  <r>
    <x v="451"/>
    <x v="2"/>
    <x v="335"/>
    <x v="8"/>
    <x v="0"/>
    <x v="1"/>
    <n v="5854"/>
    <n v="3519"/>
    <n v="68"/>
    <n v="7"/>
    <n v="60"/>
    <n v="3.8363171355498722E-2"/>
  </r>
  <r>
    <x v="452"/>
    <x v="0"/>
    <x v="336"/>
    <x v="7"/>
    <x v="0"/>
    <x v="0"/>
    <n v="12421"/>
    <n v="5242"/>
    <n v="156"/>
    <n v="19"/>
    <n v="100"/>
    <n v="5.246089278901183E-2"/>
  </r>
  <r>
    <x v="453"/>
    <x v="0"/>
    <x v="337"/>
    <x v="10"/>
    <x v="1"/>
    <x v="1"/>
    <n v="26906"/>
    <n v="16471"/>
    <n v="544"/>
    <n v="158"/>
    <n v="240"/>
    <n v="5.7191427357173211E-2"/>
  </r>
  <r>
    <x v="454"/>
    <x v="3"/>
    <x v="338"/>
    <x v="6"/>
    <x v="0"/>
    <x v="3"/>
    <n v="328225"/>
    <n v="141102"/>
    <n v="4621"/>
    <n v="3283"/>
    <n v="1763"/>
    <n v="6.8510722739578464E-2"/>
  </r>
  <r>
    <x v="455"/>
    <x v="1"/>
    <x v="339"/>
    <x v="0"/>
    <x v="0"/>
    <x v="1"/>
    <n v="17569"/>
    <n v="11376"/>
    <n v="827"/>
    <n v="41"/>
    <n v="46"/>
    <n v="8.0344585091420534E-2"/>
  </r>
  <r>
    <x v="456"/>
    <x v="1"/>
    <x v="147"/>
    <x v="0"/>
    <x v="0"/>
    <x v="3"/>
    <n v="66334"/>
    <n v="51977"/>
    <n v="3856"/>
    <n v="534"/>
    <n v="80"/>
    <n v="8.5999576735863933E-2"/>
  </r>
  <r>
    <x v="457"/>
    <x v="4"/>
    <x v="191"/>
    <x v="11"/>
    <x v="1"/>
    <x v="4"/>
    <n v="19570"/>
    <n v="15430"/>
    <n v="681"/>
    <n v="176"/>
    <n v="156"/>
    <n v="6.565132858068698E-2"/>
  </r>
  <r>
    <x v="458"/>
    <x v="4"/>
    <x v="138"/>
    <x v="2"/>
    <x v="1"/>
    <x v="0"/>
    <n v="9852"/>
    <n v="6630"/>
    <n v="339"/>
    <n v="103"/>
    <n v="87"/>
    <n v="7.9788838612368018E-2"/>
  </r>
  <r>
    <x v="459"/>
    <x v="1"/>
    <x v="290"/>
    <x v="1"/>
    <x v="0"/>
    <x v="2"/>
    <n v="92161"/>
    <n v="40403"/>
    <n v="2368"/>
    <n v="102"/>
    <n v="87"/>
    <n v="6.3287379650025982E-2"/>
  </r>
  <r>
    <x v="460"/>
    <x v="0"/>
    <x v="340"/>
    <x v="5"/>
    <x v="0"/>
    <x v="0"/>
    <n v="3970"/>
    <n v="2263"/>
    <n v="24"/>
    <n v="8"/>
    <n v="28"/>
    <n v="2.6513477684489615E-2"/>
  </r>
  <r>
    <x v="461"/>
    <x v="3"/>
    <x v="115"/>
    <x v="3"/>
    <x v="0"/>
    <x v="3"/>
    <n v="110636"/>
    <n v="36923"/>
    <n v="1473"/>
    <n v="914"/>
    <n v="1165"/>
    <n v="9.62002004170842E-2"/>
  </r>
  <r>
    <x v="462"/>
    <x v="1"/>
    <x v="341"/>
    <x v="9"/>
    <x v="0"/>
    <x v="3"/>
    <n v="52965"/>
    <n v="21319"/>
    <n v="616"/>
    <n v="180"/>
    <n v="147"/>
    <n v="4.423284394202355E-2"/>
  </r>
  <r>
    <x v="463"/>
    <x v="2"/>
    <x v="342"/>
    <x v="7"/>
    <x v="1"/>
    <x v="2"/>
    <n v="43511"/>
    <n v="37194"/>
    <n v="998"/>
    <n v="135"/>
    <n v="84"/>
    <n v="3.2720331236220895E-2"/>
  </r>
  <r>
    <x v="464"/>
    <x v="3"/>
    <x v="343"/>
    <x v="8"/>
    <x v="0"/>
    <x v="3"/>
    <n v="337983"/>
    <n v="146786"/>
    <n v="16597"/>
    <n v="3627"/>
    <n v="6567"/>
    <n v="0.18251740629215321"/>
  </r>
  <r>
    <x v="465"/>
    <x v="3"/>
    <x v="344"/>
    <x v="9"/>
    <x v="1"/>
    <x v="3"/>
    <n v="164695"/>
    <n v="90796"/>
    <n v="6004"/>
    <n v="651"/>
    <n v="3479"/>
    <n v="0.11161284638089784"/>
  </r>
  <r>
    <x v="466"/>
    <x v="4"/>
    <x v="345"/>
    <x v="9"/>
    <x v="1"/>
    <x v="4"/>
    <n v="16374"/>
    <n v="12880"/>
    <n v="274"/>
    <n v="145"/>
    <n v="63"/>
    <n v="3.7422360248447202E-2"/>
  </r>
  <r>
    <x v="467"/>
    <x v="3"/>
    <x v="241"/>
    <x v="9"/>
    <x v="1"/>
    <x v="2"/>
    <n v="459458"/>
    <n v="319894"/>
    <n v="38021"/>
    <n v="7712"/>
    <n v="11817"/>
    <n v="0.17990334298236291"/>
  </r>
  <r>
    <x v="468"/>
    <x v="0"/>
    <x v="142"/>
    <x v="6"/>
    <x v="0"/>
    <x v="1"/>
    <n v="16448"/>
    <n v="7957"/>
    <n v="185"/>
    <n v="107"/>
    <n v="133"/>
    <n v="5.3412089983662182E-2"/>
  </r>
  <r>
    <x v="469"/>
    <x v="4"/>
    <x v="346"/>
    <x v="2"/>
    <x v="0"/>
    <x v="0"/>
    <n v="7337"/>
    <n v="5366"/>
    <n v="81"/>
    <n v="112"/>
    <n v="59"/>
    <n v="4.6962355572120758E-2"/>
  </r>
  <r>
    <x v="470"/>
    <x v="2"/>
    <x v="347"/>
    <x v="5"/>
    <x v="1"/>
    <x v="0"/>
    <n v="18681"/>
    <n v="13036"/>
    <n v="151"/>
    <n v="52"/>
    <n v="160"/>
    <n v="2.7845965019944768E-2"/>
  </r>
  <r>
    <x v="471"/>
    <x v="2"/>
    <x v="160"/>
    <x v="6"/>
    <x v="1"/>
    <x v="2"/>
    <n v="37918"/>
    <n v="24272"/>
    <n v="469"/>
    <n v="158"/>
    <n v="465"/>
    <n v="4.4990112063282794E-2"/>
  </r>
  <r>
    <x v="472"/>
    <x v="2"/>
    <x v="16"/>
    <x v="5"/>
    <x v="1"/>
    <x v="2"/>
    <n v="31283"/>
    <n v="21876"/>
    <n v="129"/>
    <n v="114"/>
    <n v="253"/>
    <n v="2.2673249222892669E-2"/>
  </r>
  <r>
    <x v="473"/>
    <x v="3"/>
    <x v="348"/>
    <x v="2"/>
    <x v="1"/>
    <x v="3"/>
    <n v="339247"/>
    <n v="113189"/>
    <n v="7464"/>
    <n v="3146"/>
    <n v="4182"/>
    <n v="0.1306840770746274"/>
  </r>
  <r>
    <x v="474"/>
    <x v="1"/>
    <x v="295"/>
    <x v="7"/>
    <x v="1"/>
    <x v="1"/>
    <n v="8981"/>
    <n v="3952"/>
    <n v="155"/>
    <n v="56"/>
    <n v="27"/>
    <n v="6.0222672064777327E-2"/>
  </r>
  <r>
    <x v="475"/>
    <x v="2"/>
    <x v="148"/>
    <x v="1"/>
    <x v="1"/>
    <x v="1"/>
    <n v="21302"/>
    <n v="13074"/>
    <n v="295"/>
    <n v="26"/>
    <n v="71"/>
    <n v="2.9983172709193821E-2"/>
  </r>
  <r>
    <x v="476"/>
    <x v="1"/>
    <x v="35"/>
    <x v="8"/>
    <x v="1"/>
    <x v="4"/>
    <n v="69216"/>
    <n v="42538"/>
    <n v="1645"/>
    <n v="611"/>
    <n v="409"/>
    <n v="6.2649866002162768E-2"/>
  </r>
  <r>
    <x v="477"/>
    <x v="1"/>
    <x v="349"/>
    <x v="0"/>
    <x v="0"/>
    <x v="3"/>
    <n v="71167"/>
    <n v="40636"/>
    <n v="2428"/>
    <n v="337"/>
    <n v="81"/>
    <n v="7.0036420907569646E-2"/>
  </r>
  <r>
    <x v="478"/>
    <x v="4"/>
    <x v="350"/>
    <x v="11"/>
    <x v="1"/>
    <x v="1"/>
    <n v="4580"/>
    <n v="2488"/>
    <n v="77"/>
    <n v="21"/>
    <n v="30"/>
    <n v="5.1446945337620578E-2"/>
  </r>
  <r>
    <x v="479"/>
    <x v="1"/>
    <x v="71"/>
    <x v="8"/>
    <x v="1"/>
    <x v="4"/>
    <n v="25003"/>
    <n v="12041"/>
    <n v="780"/>
    <n v="113"/>
    <n v="55"/>
    <n v="7.8731002408437833E-2"/>
  </r>
  <r>
    <x v="480"/>
    <x v="1"/>
    <x v="351"/>
    <x v="8"/>
    <x v="1"/>
    <x v="4"/>
    <n v="69409"/>
    <n v="29566"/>
    <n v="1523"/>
    <n v="290"/>
    <n v="165"/>
    <n v="6.6901170263140089E-2"/>
  </r>
  <r>
    <x v="481"/>
    <x v="1"/>
    <x v="156"/>
    <x v="11"/>
    <x v="0"/>
    <x v="3"/>
    <n v="85888"/>
    <n v="52026"/>
    <n v="2347"/>
    <n v="624"/>
    <n v="135"/>
    <n v="5.9700918771383539E-2"/>
  </r>
  <r>
    <x v="482"/>
    <x v="1"/>
    <x v="96"/>
    <x v="10"/>
    <x v="0"/>
    <x v="4"/>
    <n v="60250"/>
    <n v="31771"/>
    <n v="1907"/>
    <n v="219"/>
    <n v="79"/>
    <n v="6.940291460766107E-2"/>
  </r>
  <r>
    <x v="483"/>
    <x v="2"/>
    <x v="352"/>
    <x v="0"/>
    <x v="1"/>
    <x v="0"/>
    <n v="11412"/>
    <n v="7912"/>
    <n v="117"/>
    <n v="23"/>
    <n v="153"/>
    <n v="3.7032355915065721E-2"/>
  </r>
  <r>
    <x v="484"/>
    <x v="1"/>
    <x v="353"/>
    <x v="10"/>
    <x v="0"/>
    <x v="1"/>
    <n v="8581"/>
    <n v="5323"/>
    <n v="190"/>
    <n v="14"/>
    <n v="9"/>
    <n v="4.0015029118917904E-2"/>
  </r>
  <r>
    <x v="485"/>
    <x v="3"/>
    <x v="354"/>
    <x v="6"/>
    <x v="1"/>
    <x v="3"/>
    <n v="87881"/>
    <n v="60405"/>
    <n v="4517"/>
    <n v="667"/>
    <n v="1550"/>
    <n v="0.11148083767900008"/>
  </r>
  <r>
    <x v="486"/>
    <x v="4"/>
    <x v="355"/>
    <x v="1"/>
    <x v="1"/>
    <x v="2"/>
    <n v="15417"/>
    <n v="8696"/>
    <n v="290"/>
    <n v="111"/>
    <n v="100"/>
    <n v="5.7612695492180316E-2"/>
  </r>
  <r>
    <x v="487"/>
    <x v="3"/>
    <x v="195"/>
    <x v="8"/>
    <x v="1"/>
    <x v="3"/>
    <n v="185847"/>
    <n v="121043"/>
    <n v="11183"/>
    <n v="626"/>
    <n v="3674"/>
    <n v="0.12791322092149071"/>
  </r>
  <r>
    <x v="488"/>
    <x v="4"/>
    <x v="31"/>
    <x v="11"/>
    <x v="1"/>
    <x v="0"/>
    <n v="10745"/>
    <n v="5956"/>
    <n v="195"/>
    <n v="89"/>
    <n v="28"/>
    <n v="5.2384150436534584E-2"/>
  </r>
  <r>
    <x v="489"/>
    <x v="4"/>
    <x v="227"/>
    <x v="11"/>
    <x v="0"/>
    <x v="1"/>
    <n v="6513"/>
    <n v="3382"/>
    <n v="114"/>
    <n v="52"/>
    <n v="33"/>
    <n v="5.8840922531046717E-2"/>
  </r>
  <r>
    <x v="490"/>
    <x v="3"/>
    <x v="131"/>
    <x v="6"/>
    <x v="0"/>
    <x v="3"/>
    <n v="440564"/>
    <n v="270609"/>
    <n v="17877"/>
    <n v="4340"/>
    <n v="7584"/>
    <n v="0.11012567948590032"/>
  </r>
  <r>
    <x v="491"/>
    <x v="3"/>
    <x v="104"/>
    <x v="2"/>
    <x v="1"/>
    <x v="2"/>
    <n v="322006"/>
    <n v="167484"/>
    <n v="9198"/>
    <n v="4109"/>
    <n v="6734"/>
    <n v="0.11965919132573857"/>
  </r>
  <r>
    <x v="492"/>
    <x v="2"/>
    <x v="356"/>
    <x v="4"/>
    <x v="0"/>
    <x v="1"/>
    <n v="10767"/>
    <n v="6348"/>
    <n v="127"/>
    <n v="7"/>
    <n v="93"/>
    <n v="3.575929426591052E-2"/>
  </r>
  <r>
    <x v="493"/>
    <x v="0"/>
    <x v="357"/>
    <x v="3"/>
    <x v="0"/>
    <x v="2"/>
    <n v="36770"/>
    <n v="17441"/>
    <n v="330"/>
    <n v="230"/>
    <n v="269"/>
    <n v="4.753167822945932E-2"/>
  </r>
  <r>
    <x v="494"/>
    <x v="3"/>
    <x v="328"/>
    <x v="5"/>
    <x v="1"/>
    <x v="2"/>
    <n v="38055"/>
    <n v="20035"/>
    <n v="1623"/>
    <n v="390"/>
    <n v="207"/>
    <n v="0.11080608934364862"/>
  </r>
  <r>
    <x v="495"/>
    <x v="1"/>
    <x v="358"/>
    <x v="1"/>
    <x v="1"/>
    <x v="4"/>
    <n v="51958"/>
    <n v="30967"/>
    <n v="878"/>
    <n v="85"/>
    <n v="54"/>
    <n v="3.2841411825491655E-2"/>
  </r>
  <r>
    <x v="496"/>
    <x v="1"/>
    <x v="359"/>
    <x v="5"/>
    <x v="0"/>
    <x v="2"/>
    <n v="36746"/>
    <n v="20529"/>
    <n v="1452"/>
    <n v="156"/>
    <n v="124"/>
    <n v="8.4368454381606506E-2"/>
  </r>
  <r>
    <x v="497"/>
    <x v="2"/>
    <x v="360"/>
    <x v="5"/>
    <x v="0"/>
    <x v="2"/>
    <n v="12875"/>
    <n v="7526"/>
    <n v="69"/>
    <n v="19"/>
    <n v="40"/>
    <n v="1.7007706617060855E-2"/>
  </r>
  <r>
    <x v="498"/>
    <x v="0"/>
    <x v="69"/>
    <x v="8"/>
    <x v="1"/>
    <x v="2"/>
    <n v="29909"/>
    <n v="10936"/>
    <n v="270"/>
    <n v="106"/>
    <n v="175"/>
    <n v="5.0384052670080469E-2"/>
  </r>
  <r>
    <x v="499"/>
    <x v="3"/>
    <x v="361"/>
    <x v="9"/>
    <x v="1"/>
    <x v="3"/>
    <n v="41256"/>
    <n v="26399"/>
    <n v="2930"/>
    <n v="619"/>
    <n v="480"/>
    <n v="0.15261941740217433"/>
  </r>
  <r>
    <x v="500"/>
    <x v="4"/>
    <x v="257"/>
    <x v="5"/>
    <x v="0"/>
    <x v="4"/>
    <n v="9610"/>
    <n v="7236"/>
    <n v="115"/>
    <n v="116"/>
    <n v="68"/>
    <n v="4.1321171918186843E-2"/>
  </r>
  <r>
    <x v="501"/>
    <x v="2"/>
    <x v="362"/>
    <x v="0"/>
    <x v="0"/>
    <x v="1"/>
    <n v="3755"/>
    <n v="2372"/>
    <n v="62"/>
    <n v="6"/>
    <n v="5"/>
    <n v="3.0775716694772345E-2"/>
  </r>
  <r>
    <x v="502"/>
    <x v="4"/>
    <x v="363"/>
    <x v="4"/>
    <x v="0"/>
    <x v="2"/>
    <n v="38598"/>
    <n v="19145"/>
    <n v="389"/>
    <n v="219"/>
    <n v="243"/>
    <n v="4.4450248106555235E-2"/>
  </r>
  <r>
    <x v="503"/>
    <x v="4"/>
    <x v="325"/>
    <x v="9"/>
    <x v="0"/>
    <x v="1"/>
    <n v="10726"/>
    <n v="6896"/>
    <n v="193"/>
    <n v="102"/>
    <n v="93"/>
    <n v="5.6264501160092809E-2"/>
  </r>
  <r>
    <x v="504"/>
    <x v="0"/>
    <x v="364"/>
    <x v="2"/>
    <x v="0"/>
    <x v="4"/>
    <n v="37289"/>
    <n v="16958"/>
    <n v="800"/>
    <n v="75"/>
    <n v="162"/>
    <n v="6.1151079136690649E-2"/>
  </r>
  <r>
    <x v="505"/>
    <x v="4"/>
    <x v="365"/>
    <x v="7"/>
    <x v="1"/>
    <x v="2"/>
    <n v="20670"/>
    <n v="15492"/>
    <n v="592"/>
    <n v="292"/>
    <n v="224"/>
    <n v="7.1520784921249678E-2"/>
  </r>
  <r>
    <x v="506"/>
    <x v="0"/>
    <x v="366"/>
    <x v="11"/>
    <x v="1"/>
    <x v="2"/>
    <n v="30297"/>
    <n v="12985"/>
    <n v="141"/>
    <n v="45"/>
    <n v="217"/>
    <n v="3.1035810550635347E-2"/>
  </r>
  <r>
    <x v="507"/>
    <x v="1"/>
    <x v="367"/>
    <x v="8"/>
    <x v="0"/>
    <x v="4"/>
    <n v="34183"/>
    <n v="19575"/>
    <n v="1510"/>
    <n v="101"/>
    <n v="112"/>
    <n v="8.8020434227330774E-2"/>
  </r>
  <r>
    <x v="508"/>
    <x v="1"/>
    <x v="368"/>
    <x v="10"/>
    <x v="0"/>
    <x v="1"/>
    <n v="44261"/>
    <n v="21082"/>
    <n v="1483"/>
    <n v="251"/>
    <n v="161"/>
    <n v="8.9887107485058348E-2"/>
  </r>
  <r>
    <x v="509"/>
    <x v="0"/>
    <x v="369"/>
    <x v="8"/>
    <x v="0"/>
    <x v="2"/>
    <n v="57188"/>
    <n v="26556"/>
    <n v="923"/>
    <n v="355"/>
    <n v="613"/>
    <n v="7.1208013255008279E-2"/>
  </r>
  <r>
    <x v="510"/>
    <x v="1"/>
    <x v="370"/>
    <x v="3"/>
    <x v="0"/>
    <x v="1"/>
    <n v="18096"/>
    <n v="11803"/>
    <n v="328"/>
    <n v="41"/>
    <n v="25"/>
    <n v="3.3381343726171311E-2"/>
  </r>
  <r>
    <x v="511"/>
    <x v="2"/>
    <x v="371"/>
    <x v="4"/>
    <x v="0"/>
    <x v="2"/>
    <n v="24711"/>
    <n v="15214"/>
    <n v="386"/>
    <n v="35"/>
    <n v="158"/>
    <n v="3.8057052714604966E-2"/>
  </r>
  <r>
    <x v="512"/>
    <x v="2"/>
    <x v="372"/>
    <x v="4"/>
    <x v="0"/>
    <x v="0"/>
    <n v="6773"/>
    <n v="4868"/>
    <n v="133"/>
    <n v="13"/>
    <n v="28"/>
    <n v="3.5743631881676251E-2"/>
  </r>
  <r>
    <x v="513"/>
    <x v="1"/>
    <x v="373"/>
    <x v="5"/>
    <x v="1"/>
    <x v="1"/>
    <n v="16541"/>
    <n v="9250"/>
    <n v="646"/>
    <n v="112"/>
    <n v="57"/>
    <n v="8.810810810810811E-2"/>
  </r>
  <r>
    <x v="514"/>
    <x v="3"/>
    <x v="38"/>
    <x v="0"/>
    <x v="0"/>
    <x v="2"/>
    <n v="237159"/>
    <n v="128305"/>
    <n v="14732"/>
    <n v="2455"/>
    <n v="2936"/>
    <n v="0.15683722380265772"/>
  </r>
  <r>
    <x v="515"/>
    <x v="1"/>
    <x v="360"/>
    <x v="5"/>
    <x v="0"/>
    <x v="1"/>
    <n v="14887"/>
    <n v="8575"/>
    <n v="514"/>
    <n v="33"/>
    <n v="64"/>
    <n v="7.1253644314868803E-2"/>
  </r>
  <r>
    <x v="516"/>
    <x v="1"/>
    <x v="199"/>
    <x v="0"/>
    <x v="1"/>
    <x v="4"/>
    <n v="11666"/>
    <n v="8813"/>
    <n v="694"/>
    <n v="84"/>
    <n v="32"/>
    <n v="9.1909678883467599E-2"/>
  </r>
  <r>
    <x v="517"/>
    <x v="1"/>
    <x v="374"/>
    <x v="0"/>
    <x v="1"/>
    <x v="2"/>
    <n v="14544"/>
    <n v="7587"/>
    <n v="486"/>
    <n v="111"/>
    <n v="57"/>
    <n v="8.6200079082641365E-2"/>
  </r>
  <r>
    <x v="518"/>
    <x v="0"/>
    <x v="375"/>
    <x v="5"/>
    <x v="0"/>
    <x v="2"/>
    <n v="58879"/>
    <n v="23183"/>
    <n v="884"/>
    <n v="413"/>
    <n v="186"/>
    <n v="6.3969287840227748E-2"/>
  </r>
  <r>
    <x v="519"/>
    <x v="4"/>
    <x v="13"/>
    <x v="10"/>
    <x v="1"/>
    <x v="0"/>
    <n v="12952"/>
    <n v="9872"/>
    <n v="429"/>
    <n v="183"/>
    <n v="32"/>
    <n v="6.5235008103727718E-2"/>
  </r>
  <r>
    <x v="520"/>
    <x v="1"/>
    <x v="253"/>
    <x v="8"/>
    <x v="0"/>
    <x v="4"/>
    <n v="58263"/>
    <n v="25374"/>
    <n v="811"/>
    <n v="348"/>
    <n v="67"/>
    <n v="4.8317175061086154E-2"/>
  </r>
  <r>
    <x v="521"/>
    <x v="1"/>
    <x v="285"/>
    <x v="1"/>
    <x v="0"/>
    <x v="2"/>
    <n v="79853"/>
    <n v="53928"/>
    <n v="1857"/>
    <n v="481"/>
    <n v="443"/>
    <n v="5.156875834445928E-2"/>
  </r>
  <r>
    <x v="522"/>
    <x v="0"/>
    <x v="376"/>
    <x v="4"/>
    <x v="1"/>
    <x v="4"/>
    <n v="7562"/>
    <n v="4153"/>
    <n v="57"/>
    <n v="55"/>
    <n v="51"/>
    <n v="3.9248735853599809E-2"/>
  </r>
  <r>
    <x v="523"/>
    <x v="3"/>
    <x v="202"/>
    <x v="2"/>
    <x v="0"/>
    <x v="3"/>
    <n v="85442"/>
    <n v="26782"/>
    <n v="1735"/>
    <n v="170"/>
    <n v="785"/>
    <n v="0.10044059442909417"/>
  </r>
  <r>
    <x v="524"/>
    <x v="1"/>
    <x v="270"/>
    <x v="2"/>
    <x v="0"/>
    <x v="3"/>
    <n v="92991"/>
    <n v="71950"/>
    <n v="2726"/>
    <n v="804"/>
    <n v="495"/>
    <n v="5.5941626129256426E-2"/>
  </r>
  <r>
    <x v="525"/>
    <x v="3"/>
    <x v="170"/>
    <x v="1"/>
    <x v="1"/>
    <x v="3"/>
    <n v="301112"/>
    <n v="200204"/>
    <n v="8580"/>
    <n v="5836"/>
    <n v="9983"/>
    <n v="0.12187069189426784"/>
  </r>
  <r>
    <x v="526"/>
    <x v="0"/>
    <x v="357"/>
    <x v="3"/>
    <x v="0"/>
    <x v="2"/>
    <n v="34405"/>
    <n v="22484"/>
    <n v="344"/>
    <n v="407"/>
    <n v="636"/>
    <n v="6.1688311688311688E-2"/>
  </r>
  <r>
    <x v="527"/>
    <x v="0"/>
    <x v="267"/>
    <x v="1"/>
    <x v="0"/>
    <x v="2"/>
    <n v="731"/>
    <n v="238"/>
    <n v="8"/>
    <n v="2"/>
    <n v="4"/>
    <n v="5.8823529411764705E-2"/>
  </r>
  <r>
    <x v="528"/>
    <x v="3"/>
    <x v="280"/>
    <x v="3"/>
    <x v="0"/>
    <x v="2"/>
    <n v="120386"/>
    <n v="56351"/>
    <n v="5671"/>
    <n v="479"/>
    <n v="2188"/>
    <n v="0.14796543095952158"/>
  </r>
  <r>
    <x v="529"/>
    <x v="1"/>
    <x v="71"/>
    <x v="8"/>
    <x v="1"/>
    <x v="2"/>
    <n v="62072"/>
    <n v="27597"/>
    <n v="1429"/>
    <n v="260"/>
    <n v="97"/>
    <n v="6.4717179403558353E-2"/>
  </r>
  <r>
    <x v="530"/>
    <x v="4"/>
    <x v="377"/>
    <x v="2"/>
    <x v="1"/>
    <x v="4"/>
    <n v="21231"/>
    <n v="9493"/>
    <n v="166"/>
    <n v="127"/>
    <n v="103"/>
    <n v="4.1714947856315181E-2"/>
  </r>
  <r>
    <x v="531"/>
    <x v="2"/>
    <x v="105"/>
    <x v="0"/>
    <x v="0"/>
    <x v="0"/>
    <n v="24799"/>
    <n v="14219"/>
    <n v="159"/>
    <n v="107"/>
    <n v="50"/>
    <n v="2.222378507630635E-2"/>
  </r>
  <r>
    <x v="532"/>
    <x v="0"/>
    <x v="76"/>
    <x v="0"/>
    <x v="1"/>
    <x v="2"/>
    <n v="3061"/>
    <n v="1290"/>
    <n v="63"/>
    <n v="7"/>
    <n v="28"/>
    <n v="7.5968992248062014E-2"/>
  </r>
  <r>
    <x v="533"/>
    <x v="3"/>
    <x v="378"/>
    <x v="5"/>
    <x v="0"/>
    <x v="3"/>
    <n v="340043"/>
    <n v="161330"/>
    <n v="7093"/>
    <n v="2464"/>
    <n v="5353"/>
    <n v="9.241926486084423E-2"/>
  </r>
  <r>
    <x v="534"/>
    <x v="2"/>
    <x v="192"/>
    <x v="5"/>
    <x v="1"/>
    <x v="2"/>
    <n v="29619"/>
    <n v="22976"/>
    <n v="279"/>
    <n v="148"/>
    <n v="145"/>
    <n v="2.4895543175487464E-2"/>
  </r>
  <r>
    <x v="535"/>
    <x v="3"/>
    <x v="379"/>
    <x v="0"/>
    <x v="0"/>
    <x v="3"/>
    <n v="422846"/>
    <n v="225005"/>
    <n v="19967"/>
    <n v="2782"/>
    <n v="2634"/>
    <n v="0.11281082642607942"/>
  </r>
  <r>
    <x v="536"/>
    <x v="0"/>
    <x v="380"/>
    <x v="5"/>
    <x v="0"/>
    <x v="1"/>
    <n v="27037"/>
    <n v="11583"/>
    <n v="294"/>
    <n v="180"/>
    <n v="235"/>
    <n v="6.1210394543727877E-2"/>
  </r>
  <r>
    <x v="537"/>
    <x v="1"/>
    <x v="335"/>
    <x v="8"/>
    <x v="0"/>
    <x v="3"/>
    <n v="58108"/>
    <n v="45986"/>
    <n v="1595"/>
    <n v="273"/>
    <n v="79"/>
    <n v="4.233897273083112E-2"/>
  </r>
  <r>
    <x v="538"/>
    <x v="0"/>
    <x v="171"/>
    <x v="9"/>
    <x v="0"/>
    <x v="4"/>
    <n v="39598"/>
    <n v="27591"/>
    <n v="554"/>
    <n v="546"/>
    <n v="240"/>
    <n v="4.8566561559928965E-2"/>
  </r>
  <r>
    <x v="539"/>
    <x v="1"/>
    <x v="381"/>
    <x v="7"/>
    <x v="0"/>
    <x v="3"/>
    <n v="13315"/>
    <n v="8634"/>
    <n v="386"/>
    <n v="17"/>
    <n v="54"/>
    <n v="5.2930275654389625E-2"/>
  </r>
  <r>
    <x v="540"/>
    <x v="3"/>
    <x v="167"/>
    <x v="1"/>
    <x v="0"/>
    <x v="3"/>
    <n v="205114"/>
    <n v="63793"/>
    <n v="2285"/>
    <n v="1498"/>
    <n v="1133"/>
    <n v="7.7061746586616089E-2"/>
  </r>
  <r>
    <x v="541"/>
    <x v="4"/>
    <x v="382"/>
    <x v="8"/>
    <x v="0"/>
    <x v="0"/>
    <n v="13067"/>
    <n v="6556"/>
    <n v="329"/>
    <n v="126"/>
    <n v="46"/>
    <n v="7.6418547895057962E-2"/>
  </r>
  <r>
    <x v="542"/>
    <x v="4"/>
    <x v="146"/>
    <x v="10"/>
    <x v="0"/>
    <x v="1"/>
    <n v="14564"/>
    <n v="6240"/>
    <n v="222"/>
    <n v="92"/>
    <n v="92"/>
    <n v="6.5064102564102569E-2"/>
  </r>
  <r>
    <x v="543"/>
    <x v="1"/>
    <x v="383"/>
    <x v="6"/>
    <x v="0"/>
    <x v="2"/>
    <n v="84635"/>
    <n v="55737"/>
    <n v="1423"/>
    <n v="808"/>
    <n v="474"/>
    <n v="4.8531496133627575E-2"/>
  </r>
  <r>
    <x v="544"/>
    <x v="4"/>
    <x v="384"/>
    <x v="6"/>
    <x v="1"/>
    <x v="0"/>
    <n v="10273"/>
    <n v="5654"/>
    <n v="175"/>
    <n v="43"/>
    <n v="45"/>
    <n v="4.651574106827025E-2"/>
  </r>
  <r>
    <x v="545"/>
    <x v="2"/>
    <x v="280"/>
    <x v="3"/>
    <x v="0"/>
    <x v="2"/>
    <n v="7109"/>
    <n v="4361"/>
    <n v="97"/>
    <n v="30"/>
    <n v="85"/>
    <n v="4.8612703508369638E-2"/>
  </r>
  <r>
    <x v="546"/>
    <x v="0"/>
    <x v="14"/>
    <x v="8"/>
    <x v="1"/>
    <x v="1"/>
    <n v="26436"/>
    <n v="17632"/>
    <n v="724"/>
    <n v="287"/>
    <n v="323"/>
    <n v="7.5657894736842105E-2"/>
  </r>
  <r>
    <x v="547"/>
    <x v="0"/>
    <x v="288"/>
    <x v="7"/>
    <x v="0"/>
    <x v="1"/>
    <n v="10617"/>
    <n v="6587"/>
    <n v="162"/>
    <n v="66"/>
    <n v="156"/>
    <n v="5.8296644906634276E-2"/>
  </r>
  <r>
    <x v="548"/>
    <x v="0"/>
    <x v="385"/>
    <x v="0"/>
    <x v="1"/>
    <x v="0"/>
    <n v="25704"/>
    <n v="17953"/>
    <n v="558"/>
    <n v="191"/>
    <n v="450"/>
    <n v="6.6785495460368743E-2"/>
  </r>
  <r>
    <x v="549"/>
    <x v="3"/>
    <x v="71"/>
    <x v="8"/>
    <x v="1"/>
    <x v="3"/>
    <n v="280933"/>
    <n v="189679"/>
    <n v="7795"/>
    <n v="5204"/>
    <n v="4138"/>
    <n v="9.0347376356897713E-2"/>
  </r>
  <r>
    <x v="550"/>
    <x v="1"/>
    <x v="386"/>
    <x v="1"/>
    <x v="0"/>
    <x v="3"/>
    <n v="68366"/>
    <n v="35477"/>
    <n v="1826"/>
    <n v="351"/>
    <n v="194"/>
    <n v="6.6832032020745835E-2"/>
  </r>
  <r>
    <x v="551"/>
    <x v="3"/>
    <x v="356"/>
    <x v="4"/>
    <x v="0"/>
    <x v="3"/>
    <n v="335088"/>
    <n v="169663"/>
    <n v="15633"/>
    <n v="2559"/>
    <n v="6680"/>
    <n v="0.14659648833275377"/>
  </r>
  <r>
    <x v="552"/>
    <x v="3"/>
    <x v="130"/>
    <x v="10"/>
    <x v="1"/>
    <x v="3"/>
    <n v="483615"/>
    <n v="199498"/>
    <n v="22698"/>
    <n v="2739"/>
    <n v="3031"/>
    <n v="0.14269817241275601"/>
  </r>
  <r>
    <x v="553"/>
    <x v="0"/>
    <x v="387"/>
    <x v="0"/>
    <x v="1"/>
    <x v="0"/>
    <n v="19259"/>
    <n v="12826"/>
    <n v="282"/>
    <n v="178"/>
    <n v="354"/>
    <n v="6.3464837049742706E-2"/>
  </r>
  <r>
    <x v="554"/>
    <x v="3"/>
    <x v="388"/>
    <x v="1"/>
    <x v="0"/>
    <x v="3"/>
    <n v="105734"/>
    <n v="49365"/>
    <n v="3314"/>
    <n v="1127"/>
    <n v="2353"/>
    <n v="0.13762787399979742"/>
  </r>
  <r>
    <x v="555"/>
    <x v="3"/>
    <x v="86"/>
    <x v="3"/>
    <x v="1"/>
    <x v="2"/>
    <n v="314434"/>
    <n v="216610"/>
    <n v="17538"/>
    <n v="2841"/>
    <n v="3817"/>
    <n v="0.11170306080051706"/>
  </r>
  <r>
    <x v="556"/>
    <x v="4"/>
    <x v="171"/>
    <x v="9"/>
    <x v="0"/>
    <x v="0"/>
    <n v="3279"/>
    <n v="2511"/>
    <n v="111"/>
    <n v="24"/>
    <n v="27"/>
    <n v="6.4516129032258063E-2"/>
  </r>
  <r>
    <x v="557"/>
    <x v="0"/>
    <x v="389"/>
    <x v="9"/>
    <x v="1"/>
    <x v="4"/>
    <n v="49064"/>
    <n v="33184"/>
    <n v="1143"/>
    <n v="345"/>
    <n v="511"/>
    <n v="6.0239874638379945E-2"/>
  </r>
  <r>
    <x v="558"/>
    <x v="4"/>
    <x v="327"/>
    <x v="2"/>
    <x v="0"/>
    <x v="0"/>
    <n v="13079"/>
    <n v="8025"/>
    <n v="217"/>
    <n v="177"/>
    <n v="97"/>
    <n v="6.118380062305296E-2"/>
  </r>
  <r>
    <x v="559"/>
    <x v="0"/>
    <x v="390"/>
    <x v="9"/>
    <x v="0"/>
    <x v="2"/>
    <n v="68875"/>
    <n v="37350"/>
    <n v="1165"/>
    <n v="516"/>
    <n v="980"/>
    <n v="7.1244979919678708E-2"/>
  </r>
  <r>
    <x v="560"/>
    <x v="3"/>
    <x v="391"/>
    <x v="9"/>
    <x v="1"/>
    <x v="2"/>
    <n v="292218"/>
    <n v="150070"/>
    <n v="4971"/>
    <n v="824"/>
    <n v="2913"/>
    <n v="5.8026254414606515E-2"/>
  </r>
  <r>
    <x v="561"/>
    <x v="0"/>
    <x v="250"/>
    <x v="7"/>
    <x v="1"/>
    <x v="4"/>
    <n v="2008"/>
    <n v="1078"/>
    <n v="37"/>
    <n v="15"/>
    <n v="19"/>
    <n v="6.5862708719851573E-2"/>
  </r>
  <r>
    <x v="562"/>
    <x v="3"/>
    <x v="392"/>
    <x v="3"/>
    <x v="0"/>
    <x v="3"/>
    <n v="186197"/>
    <n v="110046"/>
    <n v="12065"/>
    <n v="3260"/>
    <n v="1251"/>
    <n v="0.15062791923377497"/>
  </r>
  <r>
    <x v="563"/>
    <x v="4"/>
    <x v="373"/>
    <x v="5"/>
    <x v="1"/>
    <x v="1"/>
    <n v="10544"/>
    <n v="6025"/>
    <n v="320"/>
    <n v="69"/>
    <n v="23"/>
    <n v="6.8381742738589213E-2"/>
  </r>
  <r>
    <x v="564"/>
    <x v="3"/>
    <x v="307"/>
    <x v="9"/>
    <x v="0"/>
    <x v="2"/>
    <n v="150291"/>
    <n v="79412"/>
    <n v="9221"/>
    <n v="888"/>
    <n v="1254"/>
    <n v="0.14308920566161284"/>
  </r>
  <r>
    <x v="565"/>
    <x v="4"/>
    <x v="254"/>
    <x v="5"/>
    <x v="0"/>
    <x v="2"/>
    <n v="10578"/>
    <n v="6220"/>
    <n v="371"/>
    <n v="107"/>
    <n v="73"/>
    <n v="8.858520900321544E-2"/>
  </r>
  <r>
    <x v="566"/>
    <x v="3"/>
    <x v="109"/>
    <x v="9"/>
    <x v="0"/>
    <x v="3"/>
    <n v="125093"/>
    <n v="59574"/>
    <n v="1936"/>
    <n v="574"/>
    <n v="2658"/>
    <n v="8.6749253029845236E-2"/>
  </r>
  <r>
    <x v="567"/>
    <x v="0"/>
    <x v="393"/>
    <x v="6"/>
    <x v="1"/>
    <x v="4"/>
    <n v="34704"/>
    <n v="23012"/>
    <n v="396"/>
    <n v="198"/>
    <n v="278"/>
    <n v="3.7893273074917432E-2"/>
  </r>
  <r>
    <x v="568"/>
    <x v="2"/>
    <x v="288"/>
    <x v="7"/>
    <x v="0"/>
    <x v="0"/>
    <n v="9830"/>
    <n v="8700"/>
    <n v="72"/>
    <n v="37"/>
    <n v="32"/>
    <n v="1.6206896551724137E-2"/>
  </r>
  <r>
    <x v="569"/>
    <x v="1"/>
    <x v="394"/>
    <x v="2"/>
    <x v="1"/>
    <x v="1"/>
    <n v="16856"/>
    <n v="8393"/>
    <n v="481"/>
    <n v="124"/>
    <n v="61"/>
    <n v="7.9351840819730735E-2"/>
  </r>
  <r>
    <x v="570"/>
    <x v="1"/>
    <x v="300"/>
    <x v="9"/>
    <x v="0"/>
    <x v="3"/>
    <n v="10726"/>
    <n v="8238"/>
    <n v="610"/>
    <n v="72"/>
    <n v="12"/>
    <n v="8.424374848264142E-2"/>
  </r>
  <r>
    <x v="571"/>
    <x v="0"/>
    <x v="395"/>
    <x v="8"/>
    <x v="1"/>
    <x v="1"/>
    <n v="430"/>
    <n v="140"/>
    <n v="4"/>
    <n v="0"/>
    <n v="2"/>
    <n v="4.2857142857142858E-2"/>
  </r>
  <r>
    <x v="572"/>
    <x v="1"/>
    <x v="70"/>
    <x v="8"/>
    <x v="1"/>
    <x v="2"/>
    <n v="39894"/>
    <n v="18610"/>
    <n v="1028"/>
    <n v="93"/>
    <n v="49"/>
    <n v="6.2869425040300908E-2"/>
  </r>
  <r>
    <x v="573"/>
    <x v="2"/>
    <x v="396"/>
    <x v="6"/>
    <x v="0"/>
    <x v="1"/>
    <n v="8400"/>
    <n v="4395"/>
    <n v="82"/>
    <n v="30"/>
    <n v="10"/>
    <n v="2.7758816837315133E-2"/>
  </r>
  <r>
    <x v="574"/>
    <x v="0"/>
    <x v="41"/>
    <x v="9"/>
    <x v="0"/>
    <x v="2"/>
    <n v="8815"/>
    <n v="4648"/>
    <n v="155"/>
    <n v="83"/>
    <n v="59"/>
    <n v="6.3898450946643717E-2"/>
  </r>
  <r>
    <x v="575"/>
    <x v="3"/>
    <x v="373"/>
    <x v="5"/>
    <x v="1"/>
    <x v="3"/>
    <n v="31337"/>
    <n v="18849"/>
    <n v="1063"/>
    <n v="213"/>
    <n v="558"/>
    <n v="9.7299591490264736E-2"/>
  </r>
  <r>
    <x v="576"/>
    <x v="1"/>
    <x v="397"/>
    <x v="9"/>
    <x v="1"/>
    <x v="4"/>
    <n v="40741"/>
    <n v="30669"/>
    <n v="2358"/>
    <n v="373"/>
    <n v="142"/>
    <n v="9.367765496103557E-2"/>
  </r>
  <r>
    <x v="577"/>
    <x v="1"/>
    <x v="398"/>
    <x v="3"/>
    <x v="0"/>
    <x v="2"/>
    <n v="90765"/>
    <n v="39448"/>
    <n v="3115"/>
    <n v="465"/>
    <n v="278"/>
    <n v="9.7799634962482257E-2"/>
  </r>
  <r>
    <x v="578"/>
    <x v="0"/>
    <x v="399"/>
    <x v="1"/>
    <x v="1"/>
    <x v="2"/>
    <n v="59087"/>
    <n v="26659"/>
    <n v="1037"/>
    <n v="255"/>
    <n v="412"/>
    <n v="6.3918376533253315E-2"/>
  </r>
  <r>
    <x v="579"/>
    <x v="4"/>
    <x v="353"/>
    <x v="10"/>
    <x v="0"/>
    <x v="1"/>
    <n v="10178"/>
    <n v="6696"/>
    <n v="230"/>
    <n v="115"/>
    <n v="33"/>
    <n v="5.6451612903225805E-2"/>
  </r>
  <r>
    <x v="580"/>
    <x v="3"/>
    <x v="115"/>
    <x v="3"/>
    <x v="0"/>
    <x v="3"/>
    <n v="93677"/>
    <n v="47760"/>
    <n v="2519"/>
    <n v="767"/>
    <n v="1608"/>
    <n v="0.10247068676716918"/>
  </r>
  <r>
    <x v="581"/>
    <x v="1"/>
    <x v="400"/>
    <x v="7"/>
    <x v="1"/>
    <x v="4"/>
    <n v="72995"/>
    <n v="57555"/>
    <n v="3273"/>
    <n v="169"/>
    <n v="105"/>
    <n v="6.1628007992355141E-2"/>
  </r>
  <r>
    <x v="582"/>
    <x v="0"/>
    <x v="224"/>
    <x v="1"/>
    <x v="0"/>
    <x v="0"/>
    <n v="4486"/>
    <n v="1431"/>
    <n v="29"/>
    <n v="9"/>
    <n v="29"/>
    <n v="4.6820405310971348E-2"/>
  </r>
  <r>
    <x v="583"/>
    <x v="3"/>
    <x v="107"/>
    <x v="8"/>
    <x v="0"/>
    <x v="2"/>
    <n v="237487"/>
    <n v="99914"/>
    <n v="8276"/>
    <n v="1453"/>
    <n v="1566"/>
    <n v="0.11304722060972436"/>
  </r>
  <r>
    <x v="584"/>
    <x v="0"/>
    <x v="109"/>
    <x v="9"/>
    <x v="0"/>
    <x v="0"/>
    <n v="10170"/>
    <n v="4591"/>
    <n v="190"/>
    <n v="42"/>
    <n v="85"/>
    <n v="6.9048137660640385E-2"/>
  </r>
  <r>
    <x v="585"/>
    <x v="0"/>
    <x v="250"/>
    <x v="7"/>
    <x v="1"/>
    <x v="4"/>
    <n v="27574"/>
    <n v="8874"/>
    <n v="182"/>
    <n v="129"/>
    <n v="83"/>
    <n v="4.4399368942979488E-2"/>
  </r>
  <r>
    <x v="586"/>
    <x v="3"/>
    <x v="18"/>
    <x v="6"/>
    <x v="1"/>
    <x v="2"/>
    <n v="352524"/>
    <n v="141986"/>
    <n v="11532"/>
    <n v="983"/>
    <n v="2854"/>
    <n v="0.10824306621779613"/>
  </r>
  <r>
    <x v="587"/>
    <x v="0"/>
    <x v="371"/>
    <x v="4"/>
    <x v="0"/>
    <x v="4"/>
    <n v="43587"/>
    <n v="19157"/>
    <n v="349"/>
    <n v="287"/>
    <n v="144"/>
    <n v="4.0716187294461553E-2"/>
  </r>
  <r>
    <x v="588"/>
    <x v="3"/>
    <x v="319"/>
    <x v="5"/>
    <x v="0"/>
    <x v="3"/>
    <n v="212134"/>
    <n v="64001"/>
    <n v="7316"/>
    <n v="629"/>
    <n v="1698"/>
    <n v="0.15066952078873769"/>
  </r>
  <r>
    <x v="589"/>
    <x v="1"/>
    <x v="182"/>
    <x v="10"/>
    <x v="0"/>
    <x v="4"/>
    <n v="40971"/>
    <n v="24583"/>
    <n v="1757"/>
    <n v="204"/>
    <n v="198"/>
    <n v="8.7824919659927586E-2"/>
  </r>
  <r>
    <x v="590"/>
    <x v="3"/>
    <x v="401"/>
    <x v="7"/>
    <x v="1"/>
    <x v="3"/>
    <n v="335537"/>
    <n v="139187"/>
    <n v="5211"/>
    <n v="2098"/>
    <n v="4949"/>
    <n v="8.8068569622162987E-2"/>
  </r>
  <r>
    <x v="591"/>
    <x v="3"/>
    <x v="402"/>
    <x v="0"/>
    <x v="0"/>
    <x v="3"/>
    <n v="131357"/>
    <n v="89146"/>
    <n v="2771"/>
    <n v="2281"/>
    <n v="1327"/>
    <n v="7.155677203688332E-2"/>
  </r>
  <r>
    <x v="592"/>
    <x v="0"/>
    <x v="237"/>
    <x v="10"/>
    <x v="0"/>
    <x v="1"/>
    <n v="5270"/>
    <n v="3016"/>
    <n v="56"/>
    <n v="48"/>
    <n v="36"/>
    <n v="4.6419098143236075E-2"/>
  </r>
  <r>
    <x v="593"/>
    <x v="2"/>
    <x v="403"/>
    <x v="2"/>
    <x v="1"/>
    <x v="1"/>
    <n v="4484"/>
    <n v="2836"/>
    <n v="65"/>
    <n v="11"/>
    <n v="11"/>
    <n v="3.067700987306065E-2"/>
  </r>
  <r>
    <x v="594"/>
    <x v="1"/>
    <x v="404"/>
    <x v="10"/>
    <x v="0"/>
    <x v="1"/>
    <n v="20916"/>
    <n v="12784"/>
    <n v="388"/>
    <n v="93"/>
    <n v="102"/>
    <n v="4.5603879849812262E-2"/>
  </r>
  <r>
    <x v="595"/>
    <x v="4"/>
    <x v="405"/>
    <x v="5"/>
    <x v="0"/>
    <x v="4"/>
    <n v="5694"/>
    <n v="2972"/>
    <n v="80"/>
    <n v="16"/>
    <n v="29"/>
    <n v="4.2059219380888288E-2"/>
  </r>
  <r>
    <x v="596"/>
    <x v="2"/>
    <x v="81"/>
    <x v="6"/>
    <x v="1"/>
    <x v="1"/>
    <n v="19943"/>
    <n v="13635"/>
    <n v="284"/>
    <n v="18"/>
    <n v="188"/>
    <n v="3.5936927026035938E-2"/>
  </r>
  <r>
    <x v="597"/>
    <x v="1"/>
    <x v="71"/>
    <x v="8"/>
    <x v="1"/>
    <x v="2"/>
    <n v="32370"/>
    <n v="19733"/>
    <n v="511"/>
    <n v="174"/>
    <n v="134"/>
    <n v="4.1504079460801702E-2"/>
  </r>
  <r>
    <x v="598"/>
    <x v="4"/>
    <x v="213"/>
    <x v="8"/>
    <x v="0"/>
    <x v="0"/>
    <n v="3743"/>
    <n v="2527"/>
    <n v="46"/>
    <n v="54"/>
    <n v="20"/>
    <n v="4.7487138899881279E-2"/>
  </r>
  <r>
    <x v="599"/>
    <x v="0"/>
    <x v="406"/>
    <x v="2"/>
    <x v="0"/>
    <x v="4"/>
    <n v="985"/>
    <n v="595"/>
    <n v="12"/>
    <n v="11"/>
    <n v="16"/>
    <n v="6.5546218487394961E-2"/>
  </r>
  <r>
    <x v="600"/>
    <x v="1"/>
    <x v="40"/>
    <x v="11"/>
    <x v="0"/>
    <x v="4"/>
    <n v="59877"/>
    <n v="28609"/>
    <n v="1482"/>
    <n v="114"/>
    <n v="34"/>
    <n v="5.6975077772728859E-2"/>
  </r>
  <r>
    <x v="601"/>
    <x v="2"/>
    <x v="407"/>
    <x v="8"/>
    <x v="1"/>
    <x v="0"/>
    <n v="13715"/>
    <n v="9874"/>
    <n v="126"/>
    <n v="78"/>
    <n v="183"/>
    <n v="3.9193842414421712E-2"/>
  </r>
  <r>
    <x v="602"/>
    <x v="0"/>
    <x v="226"/>
    <x v="4"/>
    <x v="0"/>
    <x v="2"/>
    <n v="64617"/>
    <n v="29828"/>
    <n v="1223"/>
    <n v="462"/>
    <n v="805"/>
    <n v="8.3478610701354428E-2"/>
  </r>
  <r>
    <x v="603"/>
    <x v="2"/>
    <x v="201"/>
    <x v="7"/>
    <x v="0"/>
    <x v="2"/>
    <n v="51684"/>
    <n v="33219"/>
    <n v="461"/>
    <n v="233"/>
    <n v="575"/>
    <n v="3.8201029531292334E-2"/>
  </r>
  <r>
    <x v="604"/>
    <x v="4"/>
    <x v="322"/>
    <x v="2"/>
    <x v="0"/>
    <x v="0"/>
    <n v="12490"/>
    <n v="5469"/>
    <n v="277"/>
    <n v="108"/>
    <n v="34"/>
    <n v="7.6613640519290552E-2"/>
  </r>
  <r>
    <x v="605"/>
    <x v="4"/>
    <x v="408"/>
    <x v="3"/>
    <x v="0"/>
    <x v="4"/>
    <n v="23813"/>
    <n v="9670"/>
    <n v="159"/>
    <n v="65"/>
    <n v="74"/>
    <n v="3.0816959669079626E-2"/>
  </r>
  <r>
    <x v="606"/>
    <x v="3"/>
    <x v="273"/>
    <x v="4"/>
    <x v="1"/>
    <x v="3"/>
    <n v="257734"/>
    <n v="167895"/>
    <n v="5785"/>
    <n v="1085"/>
    <n v="6677"/>
    <n v="8.0687334345870929E-2"/>
  </r>
  <r>
    <x v="607"/>
    <x v="3"/>
    <x v="69"/>
    <x v="8"/>
    <x v="1"/>
    <x v="2"/>
    <n v="23805"/>
    <n v="12937"/>
    <n v="946"/>
    <n v="138"/>
    <n v="332"/>
    <n v="0.10945350544948597"/>
  </r>
  <r>
    <x v="608"/>
    <x v="3"/>
    <x v="61"/>
    <x v="2"/>
    <x v="0"/>
    <x v="3"/>
    <n v="225861"/>
    <n v="80749"/>
    <n v="8334"/>
    <n v="2281"/>
    <n v="2464"/>
    <n v="0.16197104608106602"/>
  </r>
  <r>
    <x v="609"/>
    <x v="1"/>
    <x v="409"/>
    <x v="6"/>
    <x v="0"/>
    <x v="3"/>
    <n v="32439"/>
    <n v="24893"/>
    <n v="1522"/>
    <n v="250"/>
    <n v="126"/>
    <n v="7.6246334310850442E-2"/>
  </r>
  <r>
    <x v="610"/>
    <x v="1"/>
    <x v="302"/>
    <x v="3"/>
    <x v="1"/>
    <x v="4"/>
    <n v="57901"/>
    <n v="37650"/>
    <n v="1623"/>
    <n v="445"/>
    <n v="126"/>
    <n v="5.8273572377158037E-2"/>
  </r>
  <r>
    <x v="611"/>
    <x v="4"/>
    <x v="410"/>
    <x v="2"/>
    <x v="0"/>
    <x v="4"/>
    <n v="19096"/>
    <n v="11955"/>
    <n v="182"/>
    <n v="270"/>
    <n v="159"/>
    <n v="5.1108322877457132E-2"/>
  </r>
  <r>
    <x v="612"/>
    <x v="1"/>
    <x v="411"/>
    <x v="2"/>
    <x v="1"/>
    <x v="1"/>
    <n v="4308"/>
    <n v="2949"/>
    <n v="143"/>
    <n v="12"/>
    <n v="16"/>
    <n v="5.7985757884028481E-2"/>
  </r>
  <r>
    <x v="613"/>
    <x v="3"/>
    <x v="297"/>
    <x v="4"/>
    <x v="0"/>
    <x v="3"/>
    <n v="374495"/>
    <n v="174291"/>
    <n v="13416"/>
    <n v="3573"/>
    <n v="8458"/>
    <n v="0.14600294909088823"/>
  </r>
  <r>
    <x v="614"/>
    <x v="3"/>
    <x v="412"/>
    <x v="7"/>
    <x v="0"/>
    <x v="3"/>
    <n v="305982"/>
    <n v="126621"/>
    <n v="6294"/>
    <n v="1307"/>
    <n v="2027"/>
    <n v="7.6037939994155784E-2"/>
  </r>
  <r>
    <x v="615"/>
    <x v="1"/>
    <x v="413"/>
    <x v="10"/>
    <x v="0"/>
    <x v="2"/>
    <n v="78081"/>
    <n v="46642"/>
    <n v="1676"/>
    <n v="643"/>
    <n v="228"/>
    <n v="5.4607435358689595E-2"/>
  </r>
  <r>
    <x v="616"/>
    <x v="0"/>
    <x v="414"/>
    <x v="3"/>
    <x v="1"/>
    <x v="0"/>
    <n v="5666"/>
    <n v="2551"/>
    <n v="121"/>
    <n v="24"/>
    <n v="59"/>
    <n v="7.9968639749117998E-2"/>
  </r>
  <r>
    <x v="617"/>
    <x v="3"/>
    <x v="325"/>
    <x v="9"/>
    <x v="0"/>
    <x v="2"/>
    <n v="282470"/>
    <n v="186650"/>
    <n v="9599"/>
    <n v="3836"/>
    <n v="7693"/>
    <n v="0.11319582105545138"/>
  </r>
  <r>
    <x v="618"/>
    <x v="0"/>
    <x v="415"/>
    <x v="10"/>
    <x v="1"/>
    <x v="1"/>
    <n v="8276"/>
    <n v="4573"/>
    <n v="96"/>
    <n v="75"/>
    <n v="90"/>
    <n v="5.7074130767548657E-2"/>
  </r>
  <r>
    <x v="619"/>
    <x v="2"/>
    <x v="58"/>
    <x v="9"/>
    <x v="0"/>
    <x v="1"/>
    <n v="14687"/>
    <n v="11612"/>
    <n v="127"/>
    <n v="23"/>
    <n v="63"/>
    <n v="1.8343093351705132E-2"/>
  </r>
  <r>
    <x v="620"/>
    <x v="2"/>
    <x v="416"/>
    <x v="1"/>
    <x v="1"/>
    <x v="0"/>
    <n v="8640"/>
    <n v="6048"/>
    <n v="127"/>
    <n v="38"/>
    <n v="53"/>
    <n v="3.6044973544973546E-2"/>
  </r>
  <r>
    <x v="621"/>
    <x v="4"/>
    <x v="417"/>
    <x v="11"/>
    <x v="0"/>
    <x v="0"/>
    <n v="11681"/>
    <n v="8863"/>
    <n v="407"/>
    <n v="183"/>
    <n v="71"/>
    <n v="7.457971341532213E-2"/>
  </r>
  <r>
    <x v="622"/>
    <x v="3"/>
    <x v="323"/>
    <x v="5"/>
    <x v="0"/>
    <x v="2"/>
    <n v="382426"/>
    <n v="151935"/>
    <n v="17874"/>
    <n v="1085"/>
    <n v="1646"/>
    <n v="0.13561720472570507"/>
  </r>
  <r>
    <x v="623"/>
    <x v="2"/>
    <x v="418"/>
    <x v="0"/>
    <x v="1"/>
    <x v="1"/>
    <n v="4755"/>
    <n v="4004"/>
    <n v="36"/>
    <n v="12"/>
    <n v="30"/>
    <n v="1.948051948051948E-2"/>
  </r>
  <r>
    <x v="624"/>
    <x v="2"/>
    <x v="248"/>
    <x v="8"/>
    <x v="1"/>
    <x v="2"/>
    <n v="56581"/>
    <n v="39633"/>
    <n v="457"/>
    <n v="260"/>
    <n v="237"/>
    <n v="2.4070850049201422E-2"/>
  </r>
  <r>
    <x v="625"/>
    <x v="2"/>
    <x v="106"/>
    <x v="5"/>
    <x v="1"/>
    <x v="0"/>
    <n v="13892"/>
    <n v="9761"/>
    <n v="108"/>
    <n v="71"/>
    <n v="142"/>
    <n v="3.2885974797664176E-2"/>
  </r>
  <r>
    <x v="626"/>
    <x v="1"/>
    <x v="419"/>
    <x v="8"/>
    <x v="1"/>
    <x v="4"/>
    <n v="66709"/>
    <n v="49001"/>
    <n v="1938"/>
    <n v="402"/>
    <n v="197"/>
    <n v="5.1774453582579948E-2"/>
  </r>
  <r>
    <x v="627"/>
    <x v="1"/>
    <x v="72"/>
    <x v="4"/>
    <x v="1"/>
    <x v="1"/>
    <n v="24231"/>
    <n v="17799"/>
    <n v="556"/>
    <n v="245"/>
    <n v="128"/>
    <n v="5.2193943479970785E-2"/>
  </r>
  <r>
    <x v="628"/>
    <x v="2"/>
    <x v="420"/>
    <x v="2"/>
    <x v="1"/>
    <x v="2"/>
    <n v="30676"/>
    <n v="22601"/>
    <n v="580"/>
    <n v="37"/>
    <n v="284"/>
    <n v="3.9865492677315165E-2"/>
  </r>
  <r>
    <x v="629"/>
    <x v="1"/>
    <x v="267"/>
    <x v="1"/>
    <x v="0"/>
    <x v="3"/>
    <n v="43458"/>
    <n v="22086"/>
    <n v="806"/>
    <n v="132"/>
    <n v="155"/>
    <n v="4.9488363669292768E-2"/>
  </r>
  <r>
    <x v="630"/>
    <x v="1"/>
    <x v="421"/>
    <x v="11"/>
    <x v="1"/>
    <x v="1"/>
    <n v="24339"/>
    <n v="11601"/>
    <n v="686"/>
    <n v="112"/>
    <n v="107"/>
    <n v="7.8010516334798718E-2"/>
  </r>
  <r>
    <x v="631"/>
    <x v="2"/>
    <x v="422"/>
    <x v="0"/>
    <x v="1"/>
    <x v="1"/>
    <n v="23608"/>
    <n v="14578"/>
    <n v="419"/>
    <n v="103"/>
    <n v="210"/>
    <n v="5.0212649197420772E-2"/>
  </r>
  <r>
    <x v="632"/>
    <x v="0"/>
    <x v="155"/>
    <x v="4"/>
    <x v="0"/>
    <x v="0"/>
    <n v="3498"/>
    <n v="2312"/>
    <n v="77"/>
    <n v="18"/>
    <n v="53"/>
    <n v="6.4013840830449822E-2"/>
  </r>
  <r>
    <x v="633"/>
    <x v="2"/>
    <x v="423"/>
    <x v="1"/>
    <x v="1"/>
    <x v="0"/>
    <n v="11898"/>
    <n v="10271"/>
    <n v="276"/>
    <n v="51"/>
    <n v="155"/>
    <n v="4.6928244572096191E-2"/>
  </r>
  <r>
    <x v="634"/>
    <x v="4"/>
    <x v="322"/>
    <x v="2"/>
    <x v="0"/>
    <x v="0"/>
    <n v="2644"/>
    <n v="1864"/>
    <n v="34"/>
    <n v="17"/>
    <n v="20"/>
    <n v="3.8090128755364806E-2"/>
  </r>
  <r>
    <x v="635"/>
    <x v="4"/>
    <x v="424"/>
    <x v="2"/>
    <x v="0"/>
    <x v="4"/>
    <n v="16074"/>
    <n v="7842"/>
    <n v="276"/>
    <n v="105"/>
    <n v="84"/>
    <n v="5.9296097934200459E-2"/>
  </r>
  <r>
    <x v="636"/>
    <x v="1"/>
    <x v="398"/>
    <x v="3"/>
    <x v="0"/>
    <x v="1"/>
    <n v="5607"/>
    <n v="3909"/>
    <n v="251"/>
    <n v="37"/>
    <n v="11"/>
    <n v="7.6490150933742646E-2"/>
  </r>
  <r>
    <x v="637"/>
    <x v="3"/>
    <x v="177"/>
    <x v="7"/>
    <x v="0"/>
    <x v="2"/>
    <n v="355683"/>
    <n v="209786"/>
    <n v="22369"/>
    <n v="5374"/>
    <n v="5279"/>
    <n v="0.15740802532104145"/>
  </r>
  <r>
    <x v="638"/>
    <x v="4"/>
    <x v="421"/>
    <x v="11"/>
    <x v="1"/>
    <x v="4"/>
    <n v="24289"/>
    <n v="13668"/>
    <n v="552"/>
    <n v="140"/>
    <n v="120"/>
    <n v="5.9408838162130523E-2"/>
  </r>
  <r>
    <x v="639"/>
    <x v="2"/>
    <x v="425"/>
    <x v="0"/>
    <x v="0"/>
    <x v="2"/>
    <n v="47511"/>
    <n v="30956"/>
    <n v="836"/>
    <n v="31"/>
    <n v="371"/>
    <n v="3.9992247060343711E-2"/>
  </r>
  <r>
    <x v="640"/>
    <x v="2"/>
    <x v="96"/>
    <x v="10"/>
    <x v="0"/>
    <x v="1"/>
    <n v="12122"/>
    <n v="6898"/>
    <n v="100"/>
    <n v="19"/>
    <n v="108"/>
    <n v="3.2908089301246737E-2"/>
  </r>
  <r>
    <x v="641"/>
    <x v="3"/>
    <x v="122"/>
    <x v="3"/>
    <x v="0"/>
    <x v="3"/>
    <n v="24844"/>
    <n v="13213"/>
    <n v="1483"/>
    <n v="150"/>
    <n v="471"/>
    <n v="0.1592371149625369"/>
  </r>
  <r>
    <x v="642"/>
    <x v="1"/>
    <x v="43"/>
    <x v="1"/>
    <x v="1"/>
    <x v="3"/>
    <n v="72162"/>
    <n v="32445"/>
    <n v="1120"/>
    <n v="100"/>
    <n v="71"/>
    <n v="3.97904145476961E-2"/>
  </r>
  <r>
    <x v="643"/>
    <x v="2"/>
    <x v="56"/>
    <x v="1"/>
    <x v="0"/>
    <x v="0"/>
    <n v="9855"/>
    <n v="8639"/>
    <n v="165"/>
    <n v="13"/>
    <n v="75"/>
    <n v="2.9285796967241578E-2"/>
  </r>
  <r>
    <x v="644"/>
    <x v="0"/>
    <x v="53"/>
    <x v="8"/>
    <x v="0"/>
    <x v="0"/>
    <n v="1464"/>
    <n v="623"/>
    <n v="18"/>
    <n v="4"/>
    <n v="10"/>
    <n v="5.1364365971107544E-2"/>
  </r>
  <r>
    <x v="645"/>
    <x v="1"/>
    <x v="426"/>
    <x v="6"/>
    <x v="1"/>
    <x v="1"/>
    <n v="43874"/>
    <n v="28603"/>
    <n v="2132"/>
    <n v="362"/>
    <n v="160"/>
    <n v="9.2787469845820369E-2"/>
  </r>
  <r>
    <x v="646"/>
    <x v="3"/>
    <x v="427"/>
    <x v="8"/>
    <x v="0"/>
    <x v="2"/>
    <n v="351288"/>
    <n v="199282"/>
    <n v="8103"/>
    <n v="5764"/>
    <n v="4943"/>
    <n v="9.4388855993014928E-2"/>
  </r>
  <r>
    <x v="647"/>
    <x v="4"/>
    <x v="126"/>
    <x v="3"/>
    <x v="1"/>
    <x v="0"/>
    <n v="1882"/>
    <n v="1085"/>
    <n v="51"/>
    <n v="21"/>
    <n v="5"/>
    <n v="7.0967741935483872E-2"/>
  </r>
  <r>
    <x v="648"/>
    <x v="1"/>
    <x v="395"/>
    <x v="8"/>
    <x v="1"/>
    <x v="3"/>
    <n v="57041"/>
    <n v="29781"/>
    <n v="1820"/>
    <n v="343"/>
    <n v="146"/>
    <n v="7.7532655048520874E-2"/>
  </r>
  <r>
    <x v="649"/>
    <x v="2"/>
    <x v="428"/>
    <x v="7"/>
    <x v="1"/>
    <x v="1"/>
    <n v="8908"/>
    <n v="6596"/>
    <n v="96"/>
    <n v="44"/>
    <n v="92"/>
    <n v="3.51728320194057E-2"/>
  </r>
  <r>
    <x v="650"/>
    <x v="1"/>
    <x v="85"/>
    <x v="1"/>
    <x v="1"/>
    <x v="1"/>
    <n v="47214"/>
    <n v="28846"/>
    <n v="835"/>
    <n v="359"/>
    <n v="194"/>
    <n v="4.8117589960479788E-2"/>
  </r>
  <r>
    <x v="651"/>
    <x v="4"/>
    <x v="429"/>
    <x v="11"/>
    <x v="0"/>
    <x v="4"/>
    <n v="7636"/>
    <n v="4927"/>
    <n v="86"/>
    <n v="42"/>
    <n v="24"/>
    <n v="3.0850416074690482E-2"/>
  </r>
  <r>
    <x v="652"/>
    <x v="2"/>
    <x v="430"/>
    <x v="7"/>
    <x v="0"/>
    <x v="2"/>
    <n v="11649"/>
    <n v="10003"/>
    <n v="121"/>
    <n v="78"/>
    <n v="73"/>
    <n v="2.7191842447265819E-2"/>
  </r>
  <r>
    <x v="653"/>
    <x v="1"/>
    <x v="431"/>
    <x v="5"/>
    <x v="1"/>
    <x v="4"/>
    <n v="15732"/>
    <n v="10566"/>
    <n v="390"/>
    <n v="51"/>
    <n v="88"/>
    <n v="5.006625023660799E-2"/>
  </r>
  <r>
    <x v="654"/>
    <x v="0"/>
    <x v="126"/>
    <x v="3"/>
    <x v="1"/>
    <x v="4"/>
    <n v="30427"/>
    <n v="10288"/>
    <n v="271"/>
    <n v="114"/>
    <n v="133"/>
    <n v="5.0349922239502333E-2"/>
  </r>
  <r>
    <x v="655"/>
    <x v="3"/>
    <x v="394"/>
    <x v="2"/>
    <x v="1"/>
    <x v="2"/>
    <n v="165315"/>
    <n v="60150"/>
    <n v="4425"/>
    <n v="1246"/>
    <n v="2176"/>
    <n v="0.13045719035743975"/>
  </r>
  <r>
    <x v="656"/>
    <x v="3"/>
    <x v="24"/>
    <x v="1"/>
    <x v="1"/>
    <x v="3"/>
    <n v="400431"/>
    <n v="132665"/>
    <n v="7190"/>
    <n v="1913"/>
    <n v="5655"/>
    <n v="0.11124260355029586"/>
  </r>
  <r>
    <x v="657"/>
    <x v="4"/>
    <x v="222"/>
    <x v="0"/>
    <x v="1"/>
    <x v="1"/>
    <n v="9511"/>
    <n v="4794"/>
    <n v="80"/>
    <n v="38"/>
    <n v="27"/>
    <n v="3.0246141009595329E-2"/>
  </r>
  <r>
    <x v="658"/>
    <x v="1"/>
    <x v="6"/>
    <x v="6"/>
    <x v="0"/>
    <x v="2"/>
    <n v="24086"/>
    <n v="9779"/>
    <n v="507"/>
    <n v="61"/>
    <n v="67"/>
    <n v="6.4935064935064929E-2"/>
  </r>
  <r>
    <x v="659"/>
    <x v="3"/>
    <x v="28"/>
    <x v="11"/>
    <x v="1"/>
    <x v="3"/>
    <n v="149002"/>
    <n v="64807"/>
    <n v="2028"/>
    <n v="1357"/>
    <n v="1588"/>
    <n v="7.6735537827703801E-2"/>
  </r>
  <r>
    <x v="660"/>
    <x v="1"/>
    <x v="181"/>
    <x v="3"/>
    <x v="1"/>
    <x v="4"/>
    <n v="28394"/>
    <n v="19354"/>
    <n v="1424"/>
    <n v="188"/>
    <n v="137"/>
    <n v="9.0368915986359405E-2"/>
  </r>
  <r>
    <x v="661"/>
    <x v="4"/>
    <x v="432"/>
    <x v="5"/>
    <x v="1"/>
    <x v="2"/>
    <n v="34442"/>
    <n v="18309"/>
    <n v="819"/>
    <n v="280"/>
    <n v="122"/>
    <n v="6.668851384564968E-2"/>
  </r>
  <r>
    <x v="662"/>
    <x v="1"/>
    <x v="433"/>
    <x v="10"/>
    <x v="0"/>
    <x v="1"/>
    <n v="36061"/>
    <n v="16765"/>
    <n v="1264"/>
    <n v="41"/>
    <n v="69"/>
    <n v="8.1956456904264841E-2"/>
  </r>
  <r>
    <x v="663"/>
    <x v="3"/>
    <x v="434"/>
    <x v="8"/>
    <x v="0"/>
    <x v="2"/>
    <n v="376171"/>
    <n v="118382"/>
    <n v="11737"/>
    <n v="1769"/>
    <n v="1756"/>
    <n v="0.12892162659863832"/>
  </r>
  <r>
    <x v="664"/>
    <x v="1"/>
    <x v="158"/>
    <x v="11"/>
    <x v="0"/>
    <x v="3"/>
    <n v="29184"/>
    <n v="14749"/>
    <n v="680"/>
    <n v="106"/>
    <n v="54"/>
    <n v="5.6953013763644991E-2"/>
  </r>
  <r>
    <x v="665"/>
    <x v="2"/>
    <x v="435"/>
    <x v="5"/>
    <x v="0"/>
    <x v="2"/>
    <n v="69393"/>
    <n v="59476"/>
    <n v="584"/>
    <n v="275"/>
    <n v="1046"/>
    <n v="3.2029726276144997E-2"/>
  </r>
  <r>
    <x v="666"/>
    <x v="4"/>
    <x v="436"/>
    <x v="3"/>
    <x v="1"/>
    <x v="2"/>
    <n v="13645"/>
    <n v="6811"/>
    <n v="361"/>
    <n v="67"/>
    <n v="96"/>
    <n v="7.6934370870650415E-2"/>
  </r>
  <r>
    <x v="667"/>
    <x v="1"/>
    <x v="437"/>
    <x v="6"/>
    <x v="1"/>
    <x v="2"/>
    <n v="81658"/>
    <n v="62205"/>
    <n v="4673"/>
    <n v="461"/>
    <n v="445"/>
    <n v="8.9687324170082794E-2"/>
  </r>
  <r>
    <x v="668"/>
    <x v="2"/>
    <x v="438"/>
    <x v="0"/>
    <x v="1"/>
    <x v="0"/>
    <n v="15327"/>
    <n v="12694"/>
    <n v="314"/>
    <n v="26"/>
    <n v="245"/>
    <n v="4.6084764455648339E-2"/>
  </r>
  <r>
    <x v="669"/>
    <x v="3"/>
    <x v="342"/>
    <x v="7"/>
    <x v="1"/>
    <x v="2"/>
    <n v="186198"/>
    <n v="108919"/>
    <n v="4735"/>
    <n v="2170"/>
    <n v="3180"/>
    <n v="9.2591742487536613E-2"/>
  </r>
  <r>
    <x v="670"/>
    <x v="3"/>
    <x v="439"/>
    <x v="11"/>
    <x v="1"/>
    <x v="3"/>
    <n v="321812"/>
    <n v="105478"/>
    <n v="8808"/>
    <n v="1141"/>
    <n v="4652"/>
    <n v="0.13842697055310113"/>
  </r>
  <r>
    <x v="671"/>
    <x v="2"/>
    <x v="440"/>
    <x v="1"/>
    <x v="1"/>
    <x v="0"/>
    <n v="14268"/>
    <n v="11633"/>
    <n v="131"/>
    <n v="88"/>
    <n v="139"/>
    <n v="3.0774520759907161E-2"/>
  </r>
  <r>
    <x v="672"/>
    <x v="1"/>
    <x v="300"/>
    <x v="9"/>
    <x v="0"/>
    <x v="4"/>
    <n v="47971"/>
    <n v="29910"/>
    <n v="1900"/>
    <n v="203"/>
    <n v="206"/>
    <n v="7.7198261451019726E-2"/>
  </r>
  <r>
    <x v="673"/>
    <x v="1"/>
    <x v="441"/>
    <x v="8"/>
    <x v="1"/>
    <x v="4"/>
    <n v="12818"/>
    <n v="7169"/>
    <n v="546"/>
    <n v="107"/>
    <n v="19"/>
    <n v="9.3736922862323893E-2"/>
  </r>
  <r>
    <x v="674"/>
    <x v="4"/>
    <x v="89"/>
    <x v="5"/>
    <x v="1"/>
    <x v="0"/>
    <n v="15500"/>
    <n v="7254"/>
    <n v="329"/>
    <n v="93"/>
    <n v="38"/>
    <n v="6.3413289219740834E-2"/>
  </r>
  <r>
    <x v="675"/>
    <x v="1"/>
    <x v="159"/>
    <x v="3"/>
    <x v="0"/>
    <x v="4"/>
    <n v="52663"/>
    <n v="27199"/>
    <n v="548"/>
    <n v="231"/>
    <n v="211"/>
    <n v="3.6398396999889705E-2"/>
  </r>
  <r>
    <x v="676"/>
    <x v="3"/>
    <x v="442"/>
    <x v="5"/>
    <x v="0"/>
    <x v="2"/>
    <n v="173804"/>
    <n v="101955"/>
    <n v="5613"/>
    <n v="882"/>
    <n v="4341"/>
    <n v="0.1062821833161689"/>
  </r>
  <r>
    <x v="677"/>
    <x v="2"/>
    <x v="369"/>
    <x v="8"/>
    <x v="0"/>
    <x v="1"/>
    <n v="3759"/>
    <n v="2971"/>
    <n v="69"/>
    <n v="12"/>
    <n v="33"/>
    <n v="3.8370918882531135E-2"/>
  </r>
  <r>
    <x v="678"/>
    <x v="2"/>
    <x v="443"/>
    <x v="8"/>
    <x v="1"/>
    <x v="2"/>
    <n v="65387"/>
    <n v="56790"/>
    <n v="780"/>
    <n v="336"/>
    <n v="826"/>
    <n v="3.4196161296002815E-2"/>
  </r>
  <r>
    <x v="679"/>
    <x v="4"/>
    <x v="444"/>
    <x v="11"/>
    <x v="0"/>
    <x v="1"/>
    <n v="17581"/>
    <n v="7295"/>
    <n v="319"/>
    <n v="105"/>
    <n v="47"/>
    <n v="6.4564770390678553E-2"/>
  </r>
  <r>
    <x v="680"/>
    <x v="1"/>
    <x v="143"/>
    <x v="4"/>
    <x v="1"/>
    <x v="3"/>
    <n v="39451"/>
    <n v="23090"/>
    <n v="792"/>
    <n v="295"/>
    <n v="221"/>
    <n v="5.6647899523603294E-2"/>
  </r>
  <r>
    <x v="681"/>
    <x v="1"/>
    <x v="51"/>
    <x v="6"/>
    <x v="1"/>
    <x v="1"/>
    <n v="49080"/>
    <n v="30039"/>
    <n v="2323"/>
    <n v="218"/>
    <n v="205"/>
    <n v="9.1414494490495685E-2"/>
  </r>
  <r>
    <x v="682"/>
    <x v="1"/>
    <x v="98"/>
    <x v="9"/>
    <x v="1"/>
    <x v="1"/>
    <n v="15266"/>
    <n v="10760"/>
    <n v="456"/>
    <n v="21"/>
    <n v="54"/>
    <n v="4.9349442379182158E-2"/>
  </r>
  <r>
    <x v="683"/>
    <x v="2"/>
    <x v="445"/>
    <x v="7"/>
    <x v="0"/>
    <x v="0"/>
    <n v="4895"/>
    <n v="2931"/>
    <n v="40"/>
    <n v="14"/>
    <n v="55"/>
    <n v="3.7188672807915386E-2"/>
  </r>
  <r>
    <x v="684"/>
    <x v="1"/>
    <x v="446"/>
    <x v="4"/>
    <x v="1"/>
    <x v="2"/>
    <n v="71625"/>
    <n v="34855"/>
    <n v="2566"/>
    <n v="381"/>
    <n v="148"/>
    <n v="8.8796442404246168E-2"/>
  </r>
  <r>
    <x v="685"/>
    <x v="1"/>
    <x v="447"/>
    <x v="6"/>
    <x v="0"/>
    <x v="3"/>
    <n v="18738"/>
    <n v="10443"/>
    <n v="526"/>
    <n v="118"/>
    <n v="55"/>
    <n v="6.6934788853777655E-2"/>
  </r>
  <r>
    <x v="686"/>
    <x v="2"/>
    <x v="417"/>
    <x v="11"/>
    <x v="0"/>
    <x v="0"/>
    <n v="2570"/>
    <n v="1852"/>
    <n v="22"/>
    <n v="5"/>
    <n v="7"/>
    <n v="1.8358531317494601E-2"/>
  </r>
  <r>
    <x v="687"/>
    <x v="3"/>
    <x v="235"/>
    <x v="8"/>
    <x v="1"/>
    <x v="3"/>
    <n v="136086"/>
    <n v="60218"/>
    <n v="3956"/>
    <n v="1120"/>
    <n v="1705"/>
    <n v="0.11260752598890697"/>
  </r>
  <r>
    <x v="688"/>
    <x v="1"/>
    <x v="448"/>
    <x v="0"/>
    <x v="1"/>
    <x v="4"/>
    <n v="34283"/>
    <n v="18836"/>
    <n v="1092"/>
    <n v="66"/>
    <n v="144"/>
    <n v="6.9122956041622427E-2"/>
  </r>
  <r>
    <x v="689"/>
    <x v="1"/>
    <x v="394"/>
    <x v="2"/>
    <x v="1"/>
    <x v="2"/>
    <n v="1615"/>
    <n v="702"/>
    <n v="21"/>
    <n v="4"/>
    <n v="6"/>
    <n v="4.4159544159544158E-2"/>
  </r>
  <r>
    <x v="690"/>
    <x v="4"/>
    <x v="449"/>
    <x v="10"/>
    <x v="0"/>
    <x v="4"/>
    <n v="30298"/>
    <n v="17070"/>
    <n v="518"/>
    <n v="236"/>
    <n v="232"/>
    <n v="5.7762155828939662E-2"/>
  </r>
  <r>
    <x v="691"/>
    <x v="4"/>
    <x v="244"/>
    <x v="1"/>
    <x v="1"/>
    <x v="4"/>
    <n v="16740"/>
    <n v="7243"/>
    <n v="220"/>
    <n v="158"/>
    <n v="104"/>
    <n v="6.6547010907082704E-2"/>
  </r>
  <r>
    <x v="692"/>
    <x v="1"/>
    <x v="315"/>
    <x v="11"/>
    <x v="1"/>
    <x v="1"/>
    <n v="25252"/>
    <n v="13577"/>
    <n v="473"/>
    <n v="128"/>
    <n v="17"/>
    <n v="4.5518155704500254E-2"/>
  </r>
  <r>
    <x v="693"/>
    <x v="4"/>
    <x v="450"/>
    <x v="5"/>
    <x v="1"/>
    <x v="4"/>
    <n v="30617"/>
    <n v="23813"/>
    <n v="1140"/>
    <n v="433"/>
    <n v="194"/>
    <n v="7.4203166337714691E-2"/>
  </r>
  <r>
    <x v="694"/>
    <x v="0"/>
    <x v="451"/>
    <x v="1"/>
    <x v="1"/>
    <x v="4"/>
    <n v="5867"/>
    <n v="3418"/>
    <n v="166"/>
    <n v="57"/>
    <n v="101"/>
    <n v="9.4792276184903448E-2"/>
  </r>
  <r>
    <x v="695"/>
    <x v="0"/>
    <x v="71"/>
    <x v="8"/>
    <x v="1"/>
    <x v="1"/>
    <n v="12837"/>
    <n v="7866"/>
    <n v="120"/>
    <n v="146"/>
    <n v="167"/>
    <n v="5.504703788456649E-2"/>
  </r>
  <r>
    <x v="696"/>
    <x v="2"/>
    <x v="78"/>
    <x v="6"/>
    <x v="1"/>
    <x v="2"/>
    <n v="19532"/>
    <n v="16443"/>
    <n v="132"/>
    <n v="51"/>
    <n v="177"/>
    <n v="2.1893814997263273E-2"/>
  </r>
  <r>
    <x v="697"/>
    <x v="4"/>
    <x v="345"/>
    <x v="9"/>
    <x v="1"/>
    <x v="2"/>
    <n v="36021"/>
    <n v="24509"/>
    <n v="567"/>
    <n v="389"/>
    <n v="136"/>
    <n v="4.4555061406014118E-2"/>
  </r>
  <r>
    <x v="698"/>
    <x v="3"/>
    <x v="329"/>
    <x v="3"/>
    <x v="0"/>
    <x v="2"/>
    <n v="516709"/>
    <n v="268928"/>
    <n v="8894"/>
    <n v="4022"/>
    <n v="2718"/>
    <n v="5.8134519276534985E-2"/>
  </r>
  <r>
    <x v="699"/>
    <x v="4"/>
    <x v="434"/>
    <x v="8"/>
    <x v="0"/>
    <x v="1"/>
    <n v="1750"/>
    <n v="1317"/>
    <n v="41"/>
    <n v="29"/>
    <n v="14"/>
    <n v="6.3781321184510256E-2"/>
  </r>
  <r>
    <x v="700"/>
    <x v="3"/>
    <x v="74"/>
    <x v="3"/>
    <x v="1"/>
    <x v="2"/>
    <n v="106828"/>
    <n v="43898"/>
    <n v="3859"/>
    <n v="1088"/>
    <n v="2101"/>
    <n v="0.16055401157228119"/>
  </r>
  <r>
    <x v="701"/>
    <x v="3"/>
    <x v="452"/>
    <x v="5"/>
    <x v="0"/>
    <x v="3"/>
    <n v="49124"/>
    <n v="26835"/>
    <n v="3131"/>
    <n v="481"/>
    <n v="1317"/>
    <n v="0.18367803242034655"/>
  </r>
  <r>
    <x v="702"/>
    <x v="4"/>
    <x v="453"/>
    <x v="10"/>
    <x v="0"/>
    <x v="2"/>
    <n v="6463"/>
    <n v="4557"/>
    <n v="146"/>
    <n v="24"/>
    <n v="15"/>
    <n v="4.0596883914856267E-2"/>
  </r>
  <r>
    <x v="703"/>
    <x v="2"/>
    <x v="213"/>
    <x v="8"/>
    <x v="0"/>
    <x v="0"/>
    <n v="11643"/>
    <n v="9539"/>
    <n v="141"/>
    <n v="22"/>
    <n v="91"/>
    <n v="2.6627529091099698E-2"/>
  </r>
  <r>
    <x v="704"/>
    <x v="4"/>
    <x v="454"/>
    <x v="4"/>
    <x v="1"/>
    <x v="0"/>
    <n v="9622"/>
    <n v="4784"/>
    <n v="206"/>
    <n v="57"/>
    <n v="16"/>
    <n v="5.831939799331104E-2"/>
  </r>
  <r>
    <x v="705"/>
    <x v="2"/>
    <x v="455"/>
    <x v="4"/>
    <x v="1"/>
    <x v="1"/>
    <n v="768"/>
    <n v="675"/>
    <n v="16"/>
    <n v="3"/>
    <n v="12"/>
    <n v="4.5925925925925926E-2"/>
  </r>
  <r>
    <x v="706"/>
    <x v="0"/>
    <x v="258"/>
    <x v="4"/>
    <x v="0"/>
    <x v="4"/>
    <n v="5498"/>
    <n v="3829"/>
    <n v="145"/>
    <n v="22"/>
    <n v="48"/>
    <n v="5.6150430921911729E-2"/>
  </r>
  <r>
    <x v="707"/>
    <x v="1"/>
    <x v="456"/>
    <x v="4"/>
    <x v="0"/>
    <x v="2"/>
    <n v="97696"/>
    <n v="44346"/>
    <n v="2344"/>
    <n v="517"/>
    <n v="88"/>
    <n v="6.6499797050466783E-2"/>
  </r>
  <r>
    <x v="708"/>
    <x v="2"/>
    <x v="121"/>
    <x v="1"/>
    <x v="1"/>
    <x v="1"/>
    <n v="20572"/>
    <n v="17868"/>
    <n v="147"/>
    <n v="129"/>
    <n v="295"/>
    <n v="3.1956570405193639E-2"/>
  </r>
  <r>
    <x v="709"/>
    <x v="0"/>
    <x v="121"/>
    <x v="1"/>
    <x v="1"/>
    <x v="0"/>
    <n v="28247"/>
    <n v="11746"/>
    <n v="274"/>
    <n v="156"/>
    <n v="145"/>
    <n v="4.8952835007662183E-2"/>
  </r>
  <r>
    <x v="710"/>
    <x v="1"/>
    <x v="425"/>
    <x v="0"/>
    <x v="0"/>
    <x v="4"/>
    <n v="74167"/>
    <n v="45400"/>
    <n v="3147"/>
    <n v="194"/>
    <n v="135"/>
    <n v="7.6563876651982374E-2"/>
  </r>
  <r>
    <x v="711"/>
    <x v="2"/>
    <x v="457"/>
    <x v="9"/>
    <x v="0"/>
    <x v="2"/>
    <n v="36474"/>
    <n v="26752"/>
    <n v="699"/>
    <n v="125"/>
    <n v="100"/>
    <n v="3.453947368421053E-2"/>
  </r>
  <r>
    <x v="712"/>
    <x v="1"/>
    <x v="458"/>
    <x v="6"/>
    <x v="1"/>
    <x v="4"/>
    <n v="52019"/>
    <n v="21663"/>
    <n v="906"/>
    <n v="211"/>
    <n v="213"/>
    <n v="6.1395005308590683E-2"/>
  </r>
  <r>
    <x v="713"/>
    <x v="2"/>
    <x v="146"/>
    <x v="10"/>
    <x v="0"/>
    <x v="1"/>
    <n v="13851"/>
    <n v="10753"/>
    <n v="90"/>
    <n v="13"/>
    <n v="43"/>
    <n v="1.3577606249418768E-2"/>
  </r>
  <r>
    <x v="714"/>
    <x v="4"/>
    <x v="459"/>
    <x v="0"/>
    <x v="1"/>
    <x v="2"/>
    <n v="4210"/>
    <n v="2327"/>
    <n v="62"/>
    <n v="55"/>
    <n v="17"/>
    <n v="5.7584873227331329E-2"/>
  </r>
  <r>
    <x v="715"/>
    <x v="2"/>
    <x v="460"/>
    <x v="10"/>
    <x v="1"/>
    <x v="0"/>
    <n v="8714"/>
    <n v="7818"/>
    <n v="194"/>
    <n v="8"/>
    <n v="76"/>
    <n v="3.5558966487592734E-2"/>
  </r>
  <r>
    <x v="716"/>
    <x v="4"/>
    <x v="235"/>
    <x v="8"/>
    <x v="1"/>
    <x v="2"/>
    <n v="18489"/>
    <n v="11208"/>
    <n v="519"/>
    <n v="262"/>
    <n v="156"/>
    <n v="8.3600999286224123E-2"/>
  </r>
  <r>
    <x v="717"/>
    <x v="4"/>
    <x v="409"/>
    <x v="6"/>
    <x v="0"/>
    <x v="0"/>
    <n v="8150"/>
    <n v="3795"/>
    <n v="184"/>
    <n v="86"/>
    <n v="18"/>
    <n v="7.5889328063241113E-2"/>
  </r>
  <r>
    <x v="718"/>
    <x v="2"/>
    <x v="30"/>
    <x v="7"/>
    <x v="0"/>
    <x v="2"/>
    <n v="38223"/>
    <n v="21921"/>
    <n v="154"/>
    <n v="148"/>
    <n v="388"/>
    <n v="3.1476666210483097E-2"/>
  </r>
  <r>
    <x v="719"/>
    <x v="0"/>
    <x v="56"/>
    <x v="1"/>
    <x v="0"/>
    <x v="4"/>
    <n v="32977"/>
    <n v="11560"/>
    <n v="298"/>
    <n v="98"/>
    <n v="169"/>
    <n v="4.8875432525951557E-2"/>
  </r>
  <r>
    <x v="720"/>
    <x v="2"/>
    <x v="461"/>
    <x v="6"/>
    <x v="1"/>
    <x v="2"/>
    <n v="57675"/>
    <n v="35760"/>
    <n v="1050"/>
    <n v="194"/>
    <n v="445"/>
    <n v="4.7231543624161071E-2"/>
  </r>
  <r>
    <x v="721"/>
    <x v="1"/>
    <x v="64"/>
    <x v="0"/>
    <x v="0"/>
    <x v="3"/>
    <n v="87852"/>
    <n v="38483"/>
    <n v="1783"/>
    <n v="380"/>
    <n v="69"/>
    <n v="5.7999636202998729E-2"/>
  </r>
  <r>
    <x v="722"/>
    <x v="4"/>
    <x v="462"/>
    <x v="4"/>
    <x v="1"/>
    <x v="4"/>
    <n v="10551"/>
    <n v="5565"/>
    <n v="130"/>
    <n v="65"/>
    <n v="23"/>
    <n v="3.9173405211141057E-2"/>
  </r>
  <r>
    <x v="723"/>
    <x v="1"/>
    <x v="463"/>
    <x v="1"/>
    <x v="0"/>
    <x v="1"/>
    <n v="29314"/>
    <n v="15386"/>
    <n v="381"/>
    <n v="69"/>
    <n v="105"/>
    <n v="3.6071753542181201E-2"/>
  </r>
  <r>
    <x v="724"/>
    <x v="1"/>
    <x v="464"/>
    <x v="3"/>
    <x v="1"/>
    <x v="2"/>
    <n v="74816"/>
    <n v="55347"/>
    <n v="4283"/>
    <n v="218"/>
    <n v="519"/>
    <n v="9.0700489638101428E-2"/>
  </r>
  <r>
    <x v="725"/>
    <x v="1"/>
    <x v="386"/>
    <x v="1"/>
    <x v="0"/>
    <x v="1"/>
    <n v="18345"/>
    <n v="13111"/>
    <n v="923"/>
    <n v="79"/>
    <n v="17"/>
    <n v="7.7720997635573177E-2"/>
  </r>
  <r>
    <x v="726"/>
    <x v="3"/>
    <x v="465"/>
    <x v="10"/>
    <x v="1"/>
    <x v="3"/>
    <n v="84679"/>
    <n v="56993"/>
    <n v="3452"/>
    <n v="763"/>
    <n v="2444"/>
    <n v="0.11683891004158406"/>
  </r>
  <r>
    <x v="727"/>
    <x v="1"/>
    <x v="131"/>
    <x v="6"/>
    <x v="0"/>
    <x v="2"/>
    <n v="29143"/>
    <n v="15606"/>
    <n v="1093"/>
    <n v="150"/>
    <n v="58"/>
    <n v="8.3365372292707934E-2"/>
  </r>
  <r>
    <x v="728"/>
    <x v="0"/>
    <x v="116"/>
    <x v="9"/>
    <x v="1"/>
    <x v="2"/>
    <n v="45375"/>
    <n v="28348"/>
    <n v="982"/>
    <n v="138"/>
    <n v="474"/>
    <n v="5.6229716382108087E-2"/>
  </r>
  <r>
    <x v="729"/>
    <x v="2"/>
    <x v="54"/>
    <x v="0"/>
    <x v="1"/>
    <x v="1"/>
    <n v="13665"/>
    <n v="9857"/>
    <n v="103"/>
    <n v="61"/>
    <n v="141"/>
    <n v="3.0942477427209091E-2"/>
  </r>
  <r>
    <x v="730"/>
    <x v="3"/>
    <x v="361"/>
    <x v="9"/>
    <x v="1"/>
    <x v="2"/>
    <n v="354002"/>
    <n v="187195"/>
    <n v="14646"/>
    <n v="2605"/>
    <n v="2589"/>
    <n v="0.1059857367985256"/>
  </r>
  <r>
    <x v="731"/>
    <x v="3"/>
    <x v="466"/>
    <x v="6"/>
    <x v="1"/>
    <x v="3"/>
    <n v="500863"/>
    <n v="228827"/>
    <n v="7070"/>
    <n v="3230"/>
    <n v="10832"/>
    <n v="9.2349242003784512E-2"/>
  </r>
  <r>
    <x v="732"/>
    <x v="2"/>
    <x v="467"/>
    <x v="7"/>
    <x v="0"/>
    <x v="1"/>
    <n v="23524"/>
    <n v="15820"/>
    <n v="267"/>
    <n v="125"/>
    <n v="203"/>
    <n v="3.7610619469026552E-2"/>
  </r>
  <r>
    <x v="733"/>
    <x v="3"/>
    <x v="203"/>
    <x v="3"/>
    <x v="1"/>
    <x v="3"/>
    <n v="379546"/>
    <n v="244938"/>
    <n v="17987"/>
    <n v="4666"/>
    <n v="9574"/>
    <n v="0.13157207129967582"/>
  </r>
  <r>
    <x v="734"/>
    <x v="3"/>
    <x v="468"/>
    <x v="6"/>
    <x v="1"/>
    <x v="2"/>
    <n v="175978"/>
    <n v="102798"/>
    <n v="7603"/>
    <n v="735"/>
    <n v="2192"/>
    <n v="0.10243389949220802"/>
  </r>
  <r>
    <x v="735"/>
    <x v="4"/>
    <x v="469"/>
    <x v="9"/>
    <x v="1"/>
    <x v="4"/>
    <n v="17851"/>
    <n v="10653"/>
    <n v="613"/>
    <n v="83"/>
    <n v="51"/>
    <n v="7.0121092649957764E-2"/>
  </r>
  <r>
    <x v="736"/>
    <x v="0"/>
    <x v="470"/>
    <x v="11"/>
    <x v="1"/>
    <x v="0"/>
    <n v="3182"/>
    <n v="1939"/>
    <n v="95"/>
    <n v="13"/>
    <n v="55"/>
    <n v="8.4063950489943265E-2"/>
  </r>
  <r>
    <x v="737"/>
    <x v="1"/>
    <x v="7"/>
    <x v="7"/>
    <x v="1"/>
    <x v="4"/>
    <n v="44248"/>
    <n v="21842"/>
    <n v="1232"/>
    <n v="170"/>
    <n v="37"/>
    <n v="6.5882245215639595E-2"/>
  </r>
  <r>
    <x v="738"/>
    <x v="0"/>
    <x v="130"/>
    <x v="10"/>
    <x v="1"/>
    <x v="4"/>
    <n v="45960"/>
    <n v="27219"/>
    <n v="568"/>
    <n v="157"/>
    <n v="161"/>
    <n v="3.2550791726367607E-2"/>
  </r>
  <r>
    <x v="739"/>
    <x v="1"/>
    <x v="389"/>
    <x v="9"/>
    <x v="1"/>
    <x v="2"/>
    <n v="63176"/>
    <n v="32514"/>
    <n v="1668"/>
    <n v="177"/>
    <n v="185"/>
    <n v="6.2434643538168175E-2"/>
  </r>
  <r>
    <x v="740"/>
    <x v="1"/>
    <x v="402"/>
    <x v="0"/>
    <x v="0"/>
    <x v="3"/>
    <n v="8474"/>
    <n v="4884"/>
    <n v="252"/>
    <n v="27"/>
    <n v="16"/>
    <n v="6.0401310401310401E-2"/>
  </r>
  <r>
    <x v="741"/>
    <x v="2"/>
    <x v="99"/>
    <x v="10"/>
    <x v="1"/>
    <x v="0"/>
    <n v="24643"/>
    <n v="12830"/>
    <n v="151"/>
    <n v="43"/>
    <n v="101"/>
    <n v="2.299298519095869E-2"/>
  </r>
  <r>
    <x v="742"/>
    <x v="2"/>
    <x v="455"/>
    <x v="4"/>
    <x v="1"/>
    <x v="1"/>
    <n v="18893"/>
    <n v="11508"/>
    <n v="103"/>
    <n v="30"/>
    <n v="23"/>
    <n v="1.3555787278415016E-2"/>
  </r>
  <r>
    <x v="743"/>
    <x v="2"/>
    <x v="389"/>
    <x v="9"/>
    <x v="1"/>
    <x v="1"/>
    <n v="16687"/>
    <n v="8832"/>
    <n v="149"/>
    <n v="10"/>
    <n v="166"/>
    <n v="3.6798007246376808E-2"/>
  </r>
  <r>
    <x v="744"/>
    <x v="4"/>
    <x v="100"/>
    <x v="0"/>
    <x v="0"/>
    <x v="1"/>
    <n v="6126"/>
    <n v="2556"/>
    <n v="101"/>
    <n v="62"/>
    <n v="12"/>
    <n v="6.8466353677621286E-2"/>
  </r>
  <r>
    <x v="745"/>
    <x v="3"/>
    <x v="471"/>
    <x v="3"/>
    <x v="1"/>
    <x v="3"/>
    <n v="153582"/>
    <n v="61067"/>
    <n v="2112"/>
    <n v="1732"/>
    <n v="1108"/>
    <n v="8.1091260418884176E-2"/>
  </r>
  <r>
    <x v="746"/>
    <x v="2"/>
    <x v="84"/>
    <x v="2"/>
    <x v="1"/>
    <x v="2"/>
    <n v="33166"/>
    <n v="20671"/>
    <n v="132"/>
    <n v="105"/>
    <n v="403"/>
    <n v="3.0961250060471193E-2"/>
  </r>
  <r>
    <x v="747"/>
    <x v="0"/>
    <x v="367"/>
    <x v="8"/>
    <x v="0"/>
    <x v="4"/>
    <n v="958"/>
    <n v="636"/>
    <n v="29"/>
    <n v="6"/>
    <n v="17"/>
    <n v="8.1761006289308172E-2"/>
  </r>
  <r>
    <x v="748"/>
    <x v="1"/>
    <x v="472"/>
    <x v="10"/>
    <x v="1"/>
    <x v="2"/>
    <n v="113024"/>
    <n v="63107"/>
    <n v="3534"/>
    <n v="773"/>
    <n v="454"/>
    <n v="7.5443294721663209E-2"/>
  </r>
  <r>
    <x v="749"/>
    <x v="0"/>
    <x v="69"/>
    <x v="8"/>
    <x v="1"/>
    <x v="0"/>
    <n v="21214"/>
    <n v="10351"/>
    <n v="479"/>
    <n v="54"/>
    <n v="195"/>
    <n v="7.0331368949859918E-2"/>
  </r>
  <r>
    <x v="750"/>
    <x v="0"/>
    <x v="37"/>
    <x v="9"/>
    <x v="0"/>
    <x v="0"/>
    <n v="18110"/>
    <n v="6550"/>
    <n v="231"/>
    <n v="98"/>
    <n v="81"/>
    <n v="6.2595419847328249E-2"/>
  </r>
  <r>
    <x v="751"/>
    <x v="3"/>
    <x v="347"/>
    <x v="5"/>
    <x v="1"/>
    <x v="3"/>
    <n v="427491"/>
    <n v="269084"/>
    <n v="23475"/>
    <n v="6850"/>
    <n v="5392"/>
    <n v="0.13273550266831174"/>
  </r>
  <r>
    <x v="752"/>
    <x v="1"/>
    <x v="473"/>
    <x v="11"/>
    <x v="1"/>
    <x v="3"/>
    <n v="117459"/>
    <n v="81926"/>
    <n v="2922"/>
    <n v="469"/>
    <n v="298"/>
    <n v="4.5028440299782729E-2"/>
  </r>
  <r>
    <x v="753"/>
    <x v="0"/>
    <x v="430"/>
    <x v="7"/>
    <x v="0"/>
    <x v="4"/>
    <n v="35097"/>
    <n v="15528"/>
    <n v="717"/>
    <n v="169"/>
    <n v="430"/>
    <n v="8.4750128799587834E-2"/>
  </r>
  <r>
    <x v="754"/>
    <x v="4"/>
    <x v="474"/>
    <x v="8"/>
    <x v="0"/>
    <x v="4"/>
    <n v="9224"/>
    <n v="6185"/>
    <n v="181"/>
    <n v="39"/>
    <n v="27"/>
    <n v="3.9935327405012128E-2"/>
  </r>
  <r>
    <x v="755"/>
    <x v="0"/>
    <x v="353"/>
    <x v="10"/>
    <x v="0"/>
    <x v="1"/>
    <n v="14807"/>
    <n v="4641"/>
    <n v="189"/>
    <n v="83"/>
    <n v="65"/>
    <n v="7.2613660848954972E-2"/>
  </r>
  <r>
    <x v="756"/>
    <x v="1"/>
    <x v="29"/>
    <x v="8"/>
    <x v="0"/>
    <x v="4"/>
    <n v="56534"/>
    <n v="26667"/>
    <n v="1823"/>
    <n v="220"/>
    <n v="84"/>
    <n v="7.9761502981212734E-2"/>
  </r>
  <r>
    <x v="757"/>
    <x v="1"/>
    <x v="332"/>
    <x v="6"/>
    <x v="1"/>
    <x v="1"/>
    <n v="34138"/>
    <n v="22857"/>
    <n v="1562"/>
    <n v="277"/>
    <n v="160"/>
    <n v="8.7456796604978779E-2"/>
  </r>
  <r>
    <x v="758"/>
    <x v="0"/>
    <x v="430"/>
    <x v="7"/>
    <x v="0"/>
    <x v="1"/>
    <n v="13034"/>
    <n v="6610"/>
    <n v="129"/>
    <n v="69"/>
    <n v="57"/>
    <n v="3.8577912254160365E-2"/>
  </r>
  <r>
    <x v="759"/>
    <x v="4"/>
    <x v="86"/>
    <x v="3"/>
    <x v="1"/>
    <x v="4"/>
    <n v="16931"/>
    <n v="10669"/>
    <n v="552"/>
    <n v="208"/>
    <n v="63"/>
    <n v="7.7139375761552165E-2"/>
  </r>
  <r>
    <x v="760"/>
    <x v="3"/>
    <x v="251"/>
    <x v="9"/>
    <x v="0"/>
    <x v="2"/>
    <n v="470236"/>
    <n v="181713"/>
    <n v="14405"/>
    <n v="1979"/>
    <n v="3187"/>
    <n v="0.10770280607331341"/>
  </r>
  <r>
    <x v="761"/>
    <x v="3"/>
    <x v="273"/>
    <x v="4"/>
    <x v="1"/>
    <x v="3"/>
    <n v="137714"/>
    <n v="93775"/>
    <n v="9583"/>
    <n v="1045"/>
    <n v="1334"/>
    <n v="0.12756065049320181"/>
  </r>
  <r>
    <x v="762"/>
    <x v="0"/>
    <x v="47"/>
    <x v="1"/>
    <x v="0"/>
    <x v="1"/>
    <n v="6286"/>
    <n v="4154"/>
    <n v="141"/>
    <n v="22"/>
    <n v="72"/>
    <n v="5.6571978815599423E-2"/>
  </r>
  <r>
    <x v="763"/>
    <x v="2"/>
    <x v="475"/>
    <x v="9"/>
    <x v="0"/>
    <x v="1"/>
    <n v="17035"/>
    <n v="13302"/>
    <n v="143"/>
    <n v="64"/>
    <n v="31"/>
    <n v="1.7892046308825741E-2"/>
  </r>
  <r>
    <x v="764"/>
    <x v="3"/>
    <x v="234"/>
    <x v="9"/>
    <x v="1"/>
    <x v="2"/>
    <n v="22629"/>
    <n v="13973"/>
    <n v="1169"/>
    <n v="217"/>
    <n v="656"/>
    <n v="0.14613898232305159"/>
  </r>
  <r>
    <x v="765"/>
    <x v="0"/>
    <x v="303"/>
    <x v="3"/>
    <x v="0"/>
    <x v="1"/>
    <n v="10886"/>
    <n v="5263"/>
    <n v="168"/>
    <n v="100"/>
    <n v="72"/>
    <n v="6.4601938058141739E-2"/>
  </r>
  <r>
    <x v="766"/>
    <x v="1"/>
    <x v="17"/>
    <x v="8"/>
    <x v="0"/>
    <x v="3"/>
    <n v="16928"/>
    <n v="9735"/>
    <n v="518"/>
    <n v="120"/>
    <n v="90"/>
    <n v="7.4781715459681555E-2"/>
  </r>
  <r>
    <x v="767"/>
    <x v="0"/>
    <x v="476"/>
    <x v="11"/>
    <x v="0"/>
    <x v="0"/>
    <n v="7099"/>
    <n v="3168"/>
    <n v="118"/>
    <n v="32"/>
    <n v="91"/>
    <n v="7.607323232323232E-2"/>
  </r>
  <r>
    <x v="768"/>
    <x v="2"/>
    <x v="477"/>
    <x v="3"/>
    <x v="1"/>
    <x v="2"/>
    <n v="36817"/>
    <n v="28588"/>
    <n v="585"/>
    <n v="184"/>
    <n v="234"/>
    <n v="3.5084650902476561E-2"/>
  </r>
  <r>
    <x v="769"/>
    <x v="3"/>
    <x v="478"/>
    <x v="8"/>
    <x v="0"/>
    <x v="2"/>
    <n v="250782"/>
    <n v="167014"/>
    <n v="11930"/>
    <n v="3434"/>
    <n v="6584"/>
    <n v="0.13141413294693857"/>
  </r>
  <r>
    <x v="770"/>
    <x v="2"/>
    <x v="32"/>
    <x v="10"/>
    <x v="1"/>
    <x v="1"/>
    <n v="2682"/>
    <n v="1770"/>
    <n v="44"/>
    <n v="8"/>
    <n v="11"/>
    <n v="3.5593220338983052E-2"/>
  </r>
  <r>
    <x v="771"/>
    <x v="0"/>
    <x v="1"/>
    <x v="1"/>
    <x v="0"/>
    <x v="1"/>
    <n v="20009"/>
    <n v="8468"/>
    <n v="296"/>
    <n v="123"/>
    <n v="63"/>
    <n v="5.6920170051960324E-2"/>
  </r>
  <r>
    <x v="772"/>
    <x v="0"/>
    <x v="117"/>
    <x v="2"/>
    <x v="1"/>
    <x v="0"/>
    <n v="2335"/>
    <n v="1610"/>
    <n v="78"/>
    <n v="26"/>
    <n v="42"/>
    <n v="9.0683229813664598E-2"/>
  </r>
  <r>
    <x v="773"/>
    <x v="3"/>
    <x v="479"/>
    <x v="0"/>
    <x v="1"/>
    <x v="2"/>
    <n v="34001"/>
    <n v="18552"/>
    <n v="671"/>
    <n v="427"/>
    <n v="524"/>
    <n v="8.7429926692539892E-2"/>
  </r>
  <r>
    <x v="774"/>
    <x v="2"/>
    <x v="480"/>
    <x v="8"/>
    <x v="0"/>
    <x v="1"/>
    <n v="7779"/>
    <n v="5128"/>
    <n v="116"/>
    <n v="35"/>
    <n v="34"/>
    <n v="3.6076443057722306E-2"/>
  </r>
  <r>
    <x v="775"/>
    <x v="1"/>
    <x v="415"/>
    <x v="10"/>
    <x v="1"/>
    <x v="3"/>
    <n v="63122"/>
    <n v="36317"/>
    <n v="1019"/>
    <n v="314"/>
    <n v="154"/>
    <n v="4.0945011977861608E-2"/>
  </r>
  <r>
    <x v="776"/>
    <x v="4"/>
    <x v="481"/>
    <x v="6"/>
    <x v="1"/>
    <x v="4"/>
    <n v="25468"/>
    <n v="16797"/>
    <n v="877"/>
    <n v="196"/>
    <n v="215"/>
    <n v="7.6680359588021677E-2"/>
  </r>
  <r>
    <x v="777"/>
    <x v="3"/>
    <x v="0"/>
    <x v="0"/>
    <x v="0"/>
    <x v="3"/>
    <n v="272197"/>
    <n v="148281"/>
    <n v="5045"/>
    <n v="3127"/>
    <n v="3810"/>
    <n v="8.0806037186153312E-2"/>
  </r>
  <r>
    <x v="778"/>
    <x v="4"/>
    <x v="482"/>
    <x v="8"/>
    <x v="0"/>
    <x v="1"/>
    <n v="13512"/>
    <n v="9567"/>
    <n v="308"/>
    <n v="60"/>
    <n v="73"/>
    <n v="4.6095954844778929E-2"/>
  </r>
  <r>
    <x v="779"/>
    <x v="3"/>
    <x v="483"/>
    <x v="3"/>
    <x v="0"/>
    <x v="2"/>
    <n v="333804"/>
    <n v="200609"/>
    <n v="20034"/>
    <n v="4299"/>
    <n v="9831"/>
    <n v="0.17030143213913632"/>
  </r>
  <r>
    <x v="780"/>
    <x v="4"/>
    <x v="325"/>
    <x v="9"/>
    <x v="0"/>
    <x v="4"/>
    <n v="23579"/>
    <n v="9773"/>
    <n v="449"/>
    <n v="138"/>
    <n v="134"/>
    <n v="7.3774685357617928E-2"/>
  </r>
  <r>
    <x v="781"/>
    <x v="0"/>
    <x v="49"/>
    <x v="3"/>
    <x v="1"/>
    <x v="1"/>
    <n v="13503"/>
    <n v="5399"/>
    <n v="264"/>
    <n v="61"/>
    <n v="84"/>
    <n v="7.5754769401741057E-2"/>
  </r>
  <r>
    <x v="782"/>
    <x v="0"/>
    <x v="166"/>
    <x v="7"/>
    <x v="1"/>
    <x v="4"/>
    <n v="16980"/>
    <n v="10531"/>
    <n v="287"/>
    <n v="68"/>
    <n v="249"/>
    <n v="5.7354477257620357E-2"/>
  </r>
  <r>
    <x v="783"/>
    <x v="0"/>
    <x v="286"/>
    <x v="6"/>
    <x v="1"/>
    <x v="4"/>
    <n v="30937"/>
    <n v="15088"/>
    <n v="213"/>
    <n v="73"/>
    <n v="306"/>
    <n v="3.9236479321314952E-2"/>
  </r>
  <r>
    <x v="784"/>
    <x v="0"/>
    <x v="386"/>
    <x v="1"/>
    <x v="0"/>
    <x v="1"/>
    <n v="26470"/>
    <n v="14840"/>
    <n v="188"/>
    <n v="83"/>
    <n v="357"/>
    <n v="4.2318059299191371E-2"/>
  </r>
  <r>
    <x v="785"/>
    <x v="3"/>
    <x v="182"/>
    <x v="10"/>
    <x v="0"/>
    <x v="3"/>
    <n v="108168"/>
    <n v="45234"/>
    <n v="3836"/>
    <n v="1170"/>
    <n v="1513"/>
    <n v="0.14411725693062741"/>
  </r>
  <r>
    <x v="786"/>
    <x v="0"/>
    <x v="187"/>
    <x v="0"/>
    <x v="1"/>
    <x v="4"/>
    <n v="19486"/>
    <n v="9257"/>
    <n v="230"/>
    <n v="72"/>
    <n v="114"/>
    <n v="4.4938965107486226E-2"/>
  </r>
  <r>
    <x v="787"/>
    <x v="3"/>
    <x v="431"/>
    <x v="5"/>
    <x v="1"/>
    <x v="2"/>
    <n v="327325"/>
    <n v="185924"/>
    <n v="16944"/>
    <n v="1712"/>
    <n v="8146"/>
    <n v="0.1441556765129838"/>
  </r>
  <r>
    <x v="788"/>
    <x v="3"/>
    <x v="119"/>
    <x v="10"/>
    <x v="1"/>
    <x v="2"/>
    <n v="209403"/>
    <n v="116276"/>
    <n v="10312"/>
    <n v="2772"/>
    <n v="3701"/>
    <n v="0.14435481096700953"/>
  </r>
  <r>
    <x v="789"/>
    <x v="1"/>
    <x v="408"/>
    <x v="3"/>
    <x v="0"/>
    <x v="4"/>
    <n v="43665"/>
    <n v="33548"/>
    <n v="1507"/>
    <n v="85"/>
    <n v="318"/>
    <n v="5.6933349230952668E-2"/>
  </r>
  <r>
    <x v="790"/>
    <x v="0"/>
    <x v="484"/>
    <x v="5"/>
    <x v="1"/>
    <x v="4"/>
    <n v="44840"/>
    <n v="30742"/>
    <n v="948"/>
    <n v="433"/>
    <n v="515"/>
    <n v="6.1674582005074488E-2"/>
  </r>
  <r>
    <x v="791"/>
    <x v="2"/>
    <x v="485"/>
    <x v="11"/>
    <x v="1"/>
    <x v="2"/>
    <n v="28891"/>
    <n v="24605"/>
    <n v="695"/>
    <n v="101"/>
    <n v="324"/>
    <n v="4.5519203413940258E-2"/>
  </r>
  <r>
    <x v="792"/>
    <x v="4"/>
    <x v="486"/>
    <x v="9"/>
    <x v="1"/>
    <x v="0"/>
    <n v="19665"/>
    <n v="13473"/>
    <n v="511"/>
    <n v="317"/>
    <n v="157"/>
    <n v="7.3109181325614198E-2"/>
  </r>
  <r>
    <x v="793"/>
    <x v="3"/>
    <x v="233"/>
    <x v="1"/>
    <x v="0"/>
    <x v="3"/>
    <n v="309901"/>
    <n v="126021"/>
    <n v="6844"/>
    <n v="677"/>
    <n v="4597"/>
    <n v="9.6158576745145649E-2"/>
  </r>
  <r>
    <x v="794"/>
    <x v="1"/>
    <x v="487"/>
    <x v="7"/>
    <x v="0"/>
    <x v="3"/>
    <n v="78507"/>
    <n v="44593"/>
    <n v="3309"/>
    <n v="647"/>
    <n v="259"/>
    <n v="9.4521561680084312E-2"/>
  </r>
  <r>
    <x v="795"/>
    <x v="2"/>
    <x v="488"/>
    <x v="0"/>
    <x v="0"/>
    <x v="0"/>
    <n v="12523"/>
    <n v="10237"/>
    <n v="168"/>
    <n v="77"/>
    <n v="131"/>
    <n v="3.6729510598808246E-2"/>
  </r>
  <r>
    <x v="796"/>
    <x v="1"/>
    <x v="145"/>
    <x v="2"/>
    <x v="0"/>
    <x v="3"/>
    <n v="16546"/>
    <n v="10784"/>
    <n v="795"/>
    <n v="89"/>
    <n v="64"/>
    <n v="8.7908011869436198E-2"/>
  </r>
  <r>
    <x v="797"/>
    <x v="2"/>
    <x v="136"/>
    <x v="2"/>
    <x v="0"/>
    <x v="0"/>
    <n v="22672"/>
    <n v="13697"/>
    <n v="253"/>
    <n v="45"/>
    <n v="150"/>
    <n v="3.2707892239176459E-2"/>
  </r>
  <r>
    <x v="798"/>
    <x v="1"/>
    <x v="358"/>
    <x v="1"/>
    <x v="1"/>
    <x v="4"/>
    <n v="72621"/>
    <n v="56147"/>
    <n v="4186"/>
    <n v="283"/>
    <n v="178"/>
    <n v="8.2764885033928801E-2"/>
  </r>
  <r>
    <x v="799"/>
    <x v="2"/>
    <x v="18"/>
    <x v="6"/>
    <x v="1"/>
    <x v="1"/>
    <n v="16084"/>
    <n v="13865"/>
    <n v="227"/>
    <n v="107"/>
    <n v="245"/>
    <n v="4.175982690227191E-2"/>
  </r>
  <r>
    <x v="800"/>
    <x v="1"/>
    <x v="489"/>
    <x v="5"/>
    <x v="1"/>
    <x v="3"/>
    <n v="8929"/>
    <n v="7013"/>
    <n v="541"/>
    <n v="94"/>
    <n v="47"/>
    <n v="9.7247968059318415E-2"/>
  </r>
  <r>
    <x v="801"/>
    <x v="0"/>
    <x v="424"/>
    <x v="2"/>
    <x v="0"/>
    <x v="0"/>
    <n v="15199"/>
    <n v="8810"/>
    <n v="264"/>
    <n v="29"/>
    <n v="151"/>
    <n v="5.0397275822928488E-2"/>
  </r>
  <r>
    <x v="802"/>
    <x v="3"/>
    <x v="111"/>
    <x v="10"/>
    <x v="1"/>
    <x v="3"/>
    <n v="31608"/>
    <n v="10540"/>
    <n v="499"/>
    <n v="63"/>
    <n v="116"/>
    <n v="6.4326375711574957E-2"/>
  </r>
  <r>
    <x v="803"/>
    <x v="2"/>
    <x v="490"/>
    <x v="10"/>
    <x v="1"/>
    <x v="1"/>
    <n v="18381"/>
    <n v="12860"/>
    <n v="251"/>
    <n v="16"/>
    <n v="137"/>
    <n v="3.1415241057542766E-2"/>
  </r>
  <r>
    <x v="804"/>
    <x v="1"/>
    <x v="119"/>
    <x v="10"/>
    <x v="1"/>
    <x v="3"/>
    <n v="8019"/>
    <n v="4735"/>
    <n v="360"/>
    <n v="13"/>
    <n v="22"/>
    <n v="8.3421330517423439E-2"/>
  </r>
  <r>
    <x v="805"/>
    <x v="0"/>
    <x v="491"/>
    <x v="4"/>
    <x v="0"/>
    <x v="2"/>
    <n v="85320"/>
    <n v="51527"/>
    <n v="2350"/>
    <n v="759"/>
    <n v="509"/>
    <n v="7.0215615114406035E-2"/>
  </r>
  <r>
    <x v="806"/>
    <x v="1"/>
    <x v="217"/>
    <x v="7"/>
    <x v="1"/>
    <x v="4"/>
    <n v="38897"/>
    <n v="30186"/>
    <n v="786"/>
    <n v="91"/>
    <n v="102"/>
    <n v="3.2432253362485917E-2"/>
  </r>
  <r>
    <x v="807"/>
    <x v="0"/>
    <x v="231"/>
    <x v="4"/>
    <x v="0"/>
    <x v="4"/>
    <n v="34622"/>
    <n v="15612"/>
    <n v="653"/>
    <n v="91"/>
    <n v="213"/>
    <n v="6.1299000768639506E-2"/>
  </r>
  <r>
    <x v="808"/>
    <x v="0"/>
    <x v="95"/>
    <x v="3"/>
    <x v="0"/>
    <x v="0"/>
    <n v="896"/>
    <n v="466"/>
    <n v="18"/>
    <n v="3"/>
    <n v="10"/>
    <n v="6.652360515021459E-2"/>
  </r>
  <r>
    <x v="809"/>
    <x v="3"/>
    <x v="34"/>
    <x v="2"/>
    <x v="0"/>
    <x v="3"/>
    <n v="267198"/>
    <n v="130450"/>
    <n v="15382"/>
    <n v="954"/>
    <n v="2977"/>
    <n v="0.14804906094289"/>
  </r>
  <r>
    <x v="810"/>
    <x v="0"/>
    <x v="327"/>
    <x v="2"/>
    <x v="0"/>
    <x v="4"/>
    <n v="5004"/>
    <n v="2876"/>
    <n v="33"/>
    <n v="9"/>
    <n v="36"/>
    <n v="2.7121001390820583E-2"/>
  </r>
  <r>
    <x v="811"/>
    <x v="1"/>
    <x v="433"/>
    <x v="10"/>
    <x v="0"/>
    <x v="3"/>
    <n v="92027"/>
    <n v="71596"/>
    <n v="1879"/>
    <n v="757"/>
    <n v="301"/>
    <n v="4.1021844795798651E-2"/>
  </r>
  <r>
    <x v="812"/>
    <x v="4"/>
    <x v="298"/>
    <x v="11"/>
    <x v="0"/>
    <x v="2"/>
    <n v="18602"/>
    <n v="7631"/>
    <n v="410"/>
    <n v="99"/>
    <n v="44"/>
    <n v="7.2467566505045211E-2"/>
  </r>
  <r>
    <x v="813"/>
    <x v="0"/>
    <x v="324"/>
    <x v="9"/>
    <x v="0"/>
    <x v="2"/>
    <n v="27727"/>
    <n v="18430"/>
    <n v="250"/>
    <n v="141"/>
    <n v="192"/>
    <n v="3.1633206728160605E-2"/>
  </r>
  <r>
    <x v="814"/>
    <x v="1"/>
    <x v="382"/>
    <x v="8"/>
    <x v="0"/>
    <x v="2"/>
    <n v="15247"/>
    <n v="8056"/>
    <n v="540"/>
    <n v="26"/>
    <n v="48"/>
    <n v="7.6216484607745785E-2"/>
  </r>
  <r>
    <x v="815"/>
    <x v="3"/>
    <x v="142"/>
    <x v="6"/>
    <x v="0"/>
    <x v="2"/>
    <n v="89894"/>
    <n v="59291"/>
    <n v="1939"/>
    <n v="1048"/>
    <n v="2205"/>
    <n v="8.7568096338398752E-2"/>
  </r>
  <r>
    <x v="816"/>
    <x v="1"/>
    <x v="492"/>
    <x v="6"/>
    <x v="0"/>
    <x v="1"/>
    <n v="27153"/>
    <n v="19875"/>
    <n v="1530"/>
    <n v="162"/>
    <n v="74"/>
    <n v="8.8855345911949685E-2"/>
  </r>
  <r>
    <x v="817"/>
    <x v="4"/>
    <x v="374"/>
    <x v="0"/>
    <x v="1"/>
    <x v="2"/>
    <n v="4784"/>
    <n v="2037"/>
    <n v="35"/>
    <n v="15"/>
    <n v="25"/>
    <n v="3.6818851251840944E-2"/>
  </r>
  <r>
    <x v="818"/>
    <x v="2"/>
    <x v="168"/>
    <x v="11"/>
    <x v="0"/>
    <x v="2"/>
    <n v="13034"/>
    <n v="9588"/>
    <n v="212"/>
    <n v="20"/>
    <n v="99"/>
    <n v="3.4522319566124324E-2"/>
  </r>
  <r>
    <x v="819"/>
    <x v="2"/>
    <x v="327"/>
    <x v="2"/>
    <x v="0"/>
    <x v="0"/>
    <n v="18057"/>
    <n v="13827"/>
    <n v="299"/>
    <n v="64"/>
    <n v="151"/>
    <n v="3.7173645765531206E-2"/>
  </r>
  <r>
    <x v="820"/>
    <x v="3"/>
    <x v="443"/>
    <x v="8"/>
    <x v="1"/>
    <x v="3"/>
    <n v="179719"/>
    <n v="70601"/>
    <n v="4549"/>
    <n v="1643"/>
    <n v="975"/>
    <n v="0.1015141428591663"/>
  </r>
  <r>
    <x v="821"/>
    <x v="2"/>
    <x v="493"/>
    <x v="10"/>
    <x v="0"/>
    <x v="0"/>
    <n v="23924"/>
    <n v="11970"/>
    <n v="195"/>
    <n v="81"/>
    <n v="148"/>
    <n v="3.5421888053467E-2"/>
  </r>
  <r>
    <x v="822"/>
    <x v="3"/>
    <x v="342"/>
    <x v="7"/>
    <x v="1"/>
    <x v="3"/>
    <n v="300492"/>
    <n v="142306"/>
    <n v="10847"/>
    <n v="2910"/>
    <n v="4021"/>
    <n v="0.12492797211642517"/>
  </r>
  <r>
    <x v="823"/>
    <x v="1"/>
    <x v="472"/>
    <x v="10"/>
    <x v="1"/>
    <x v="1"/>
    <n v="28585"/>
    <n v="11891"/>
    <n v="338"/>
    <n v="121"/>
    <n v="92"/>
    <n v="4.6337566226557901E-2"/>
  </r>
  <r>
    <x v="824"/>
    <x v="2"/>
    <x v="186"/>
    <x v="1"/>
    <x v="0"/>
    <x v="2"/>
    <n v="17663"/>
    <n v="10699"/>
    <n v="273"/>
    <n v="17"/>
    <n v="27"/>
    <n v="2.9628937283858306E-2"/>
  </r>
  <r>
    <x v="825"/>
    <x v="2"/>
    <x v="494"/>
    <x v="6"/>
    <x v="1"/>
    <x v="0"/>
    <n v="11481"/>
    <n v="7128"/>
    <n v="171"/>
    <n v="35"/>
    <n v="27"/>
    <n v="3.2687991021324352E-2"/>
  </r>
  <r>
    <x v="826"/>
    <x v="1"/>
    <x v="495"/>
    <x v="1"/>
    <x v="1"/>
    <x v="3"/>
    <n v="30075"/>
    <n v="20915"/>
    <n v="1601"/>
    <n v="228"/>
    <n v="62"/>
    <n v="9.0413578771216835E-2"/>
  </r>
  <r>
    <x v="827"/>
    <x v="0"/>
    <x v="419"/>
    <x v="8"/>
    <x v="1"/>
    <x v="4"/>
    <n v="43087"/>
    <n v="29240"/>
    <n v="851"/>
    <n v="333"/>
    <n v="640"/>
    <n v="6.2380300957592338E-2"/>
  </r>
  <r>
    <x v="828"/>
    <x v="2"/>
    <x v="53"/>
    <x v="8"/>
    <x v="0"/>
    <x v="2"/>
    <n v="14244"/>
    <n v="12768"/>
    <n v="231"/>
    <n v="47"/>
    <n v="94"/>
    <n v="2.913533834586466E-2"/>
  </r>
  <r>
    <x v="829"/>
    <x v="4"/>
    <x v="421"/>
    <x v="11"/>
    <x v="1"/>
    <x v="0"/>
    <n v="18511"/>
    <n v="13972"/>
    <n v="643"/>
    <n v="332"/>
    <n v="103"/>
    <n v="7.7154308617234463E-2"/>
  </r>
  <r>
    <x v="830"/>
    <x v="2"/>
    <x v="314"/>
    <x v="4"/>
    <x v="0"/>
    <x v="0"/>
    <n v="12617"/>
    <n v="9372"/>
    <n v="155"/>
    <n v="60"/>
    <n v="36"/>
    <n v="2.6781903542466921E-2"/>
  </r>
  <r>
    <x v="831"/>
    <x v="3"/>
    <x v="496"/>
    <x v="2"/>
    <x v="1"/>
    <x v="2"/>
    <n v="152232"/>
    <n v="90649"/>
    <n v="5749"/>
    <n v="496"/>
    <n v="2756"/>
    <n v="9.929508323312998E-2"/>
  </r>
  <r>
    <x v="832"/>
    <x v="0"/>
    <x v="497"/>
    <x v="7"/>
    <x v="1"/>
    <x v="4"/>
    <n v="8589"/>
    <n v="3060"/>
    <n v="83"/>
    <n v="51"/>
    <n v="49"/>
    <n v="5.9803921568627454E-2"/>
  </r>
  <r>
    <x v="833"/>
    <x v="0"/>
    <x v="498"/>
    <x v="9"/>
    <x v="0"/>
    <x v="4"/>
    <n v="6956"/>
    <n v="4036"/>
    <n v="176"/>
    <n v="69"/>
    <n v="55"/>
    <n v="7.4331020812685833E-2"/>
  </r>
  <r>
    <x v="834"/>
    <x v="0"/>
    <x v="323"/>
    <x v="5"/>
    <x v="0"/>
    <x v="1"/>
    <n v="16675"/>
    <n v="5590"/>
    <n v="138"/>
    <n v="62"/>
    <n v="118"/>
    <n v="5.6887298747763861E-2"/>
  </r>
  <r>
    <x v="835"/>
    <x v="4"/>
    <x v="394"/>
    <x v="2"/>
    <x v="1"/>
    <x v="1"/>
    <n v="2809"/>
    <n v="1265"/>
    <n v="28"/>
    <n v="22"/>
    <n v="17"/>
    <n v="5.2964426877470355E-2"/>
  </r>
  <r>
    <x v="836"/>
    <x v="1"/>
    <x v="460"/>
    <x v="10"/>
    <x v="1"/>
    <x v="1"/>
    <n v="11976"/>
    <n v="7595"/>
    <n v="348"/>
    <n v="40"/>
    <n v="9"/>
    <n v="5.2271231073074388E-2"/>
  </r>
  <r>
    <x v="837"/>
    <x v="0"/>
    <x v="472"/>
    <x v="10"/>
    <x v="1"/>
    <x v="4"/>
    <n v="50782"/>
    <n v="24146"/>
    <n v="541"/>
    <n v="336"/>
    <n v="541"/>
    <n v="5.872608299511306E-2"/>
  </r>
  <r>
    <x v="838"/>
    <x v="1"/>
    <x v="259"/>
    <x v="1"/>
    <x v="0"/>
    <x v="2"/>
    <n v="83900"/>
    <n v="49290"/>
    <n v="3027"/>
    <n v="520"/>
    <n v="121"/>
    <n v="7.4416717386893899E-2"/>
  </r>
  <r>
    <x v="839"/>
    <x v="3"/>
    <x v="496"/>
    <x v="2"/>
    <x v="1"/>
    <x v="3"/>
    <n v="206094"/>
    <n v="92209"/>
    <n v="9894"/>
    <n v="1277"/>
    <n v="1266"/>
    <n v="0.13487837412833889"/>
  </r>
  <r>
    <x v="840"/>
    <x v="1"/>
    <x v="196"/>
    <x v="10"/>
    <x v="0"/>
    <x v="3"/>
    <n v="76099"/>
    <n v="59299"/>
    <n v="1282"/>
    <n v="597"/>
    <n v="181"/>
    <n v="3.4739203021973392E-2"/>
  </r>
  <r>
    <x v="841"/>
    <x v="1"/>
    <x v="150"/>
    <x v="1"/>
    <x v="1"/>
    <x v="3"/>
    <n v="58336"/>
    <n v="28891"/>
    <n v="1609"/>
    <n v="342"/>
    <n v="138"/>
    <n v="7.2306254542937251E-2"/>
  </r>
  <r>
    <x v="842"/>
    <x v="0"/>
    <x v="222"/>
    <x v="0"/>
    <x v="1"/>
    <x v="0"/>
    <n v="10419"/>
    <n v="5268"/>
    <n v="95"/>
    <n v="19"/>
    <n v="98"/>
    <n v="4.0242976461655276E-2"/>
  </r>
  <r>
    <x v="843"/>
    <x v="3"/>
    <x v="160"/>
    <x v="6"/>
    <x v="1"/>
    <x v="2"/>
    <n v="397798"/>
    <n v="251973"/>
    <n v="21279"/>
    <n v="7212"/>
    <n v="6116"/>
    <n v="0.13734408051656327"/>
  </r>
  <r>
    <x v="844"/>
    <x v="3"/>
    <x v="499"/>
    <x v="4"/>
    <x v="0"/>
    <x v="3"/>
    <n v="81633"/>
    <n v="42498"/>
    <n v="2362"/>
    <n v="379"/>
    <n v="842"/>
    <n v="8.4309849875288251E-2"/>
  </r>
  <r>
    <x v="845"/>
    <x v="1"/>
    <x v="500"/>
    <x v="2"/>
    <x v="0"/>
    <x v="2"/>
    <n v="114853"/>
    <n v="90322"/>
    <n v="7036"/>
    <n v="1008"/>
    <n v="460"/>
    <n v="9.4152033834503226E-2"/>
  </r>
  <r>
    <x v="846"/>
    <x v="3"/>
    <x v="64"/>
    <x v="0"/>
    <x v="0"/>
    <x v="3"/>
    <n v="101559"/>
    <n v="37011"/>
    <n v="1403"/>
    <n v="866"/>
    <n v="1702"/>
    <n v="0.10729242657588285"/>
  </r>
  <r>
    <x v="847"/>
    <x v="4"/>
    <x v="169"/>
    <x v="6"/>
    <x v="1"/>
    <x v="2"/>
    <n v="52966"/>
    <n v="33208"/>
    <n v="1342"/>
    <n v="314"/>
    <n v="185"/>
    <n v="5.5438448566610454E-2"/>
  </r>
  <r>
    <x v="848"/>
    <x v="0"/>
    <x v="293"/>
    <x v="8"/>
    <x v="1"/>
    <x v="4"/>
    <n v="43373"/>
    <n v="27936"/>
    <n v="345"/>
    <n v="509"/>
    <n v="623"/>
    <n v="5.2870847651775486E-2"/>
  </r>
  <r>
    <x v="849"/>
    <x v="2"/>
    <x v="501"/>
    <x v="5"/>
    <x v="1"/>
    <x v="1"/>
    <n v="23924"/>
    <n v="17276"/>
    <n v="513"/>
    <n v="82"/>
    <n v="333"/>
    <n v="5.3716137994906231E-2"/>
  </r>
  <r>
    <x v="850"/>
    <x v="3"/>
    <x v="502"/>
    <x v="7"/>
    <x v="1"/>
    <x v="2"/>
    <n v="46459"/>
    <n v="22156"/>
    <n v="2313"/>
    <n v="187"/>
    <n v="1002"/>
    <n v="0.1580610218450984"/>
  </r>
  <r>
    <x v="851"/>
    <x v="4"/>
    <x v="169"/>
    <x v="6"/>
    <x v="1"/>
    <x v="1"/>
    <n v="14787"/>
    <n v="9920"/>
    <n v="185"/>
    <n v="122"/>
    <n v="65"/>
    <n v="3.7499999999999999E-2"/>
  </r>
  <r>
    <x v="852"/>
    <x v="0"/>
    <x v="231"/>
    <x v="4"/>
    <x v="0"/>
    <x v="2"/>
    <n v="25391"/>
    <n v="11521"/>
    <n v="439"/>
    <n v="87"/>
    <n v="300"/>
    <n v="7.1695165350230017E-2"/>
  </r>
  <r>
    <x v="853"/>
    <x v="1"/>
    <x v="503"/>
    <x v="1"/>
    <x v="0"/>
    <x v="3"/>
    <n v="4011"/>
    <n v="3061"/>
    <n v="210"/>
    <n v="42"/>
    <n v="5"/>
    <n v="8.3959490362626593E-2"/>
  </r>
  <r>
    <x v="854"/>
    <x v="4"/>
    <x v="83"/>
    <x v="6"/>
    <x v="1"/>
    <x v="2"/>
    <n v="13250"/>
    <n v="6561"/>
    <n v="367"/>
    <n v="79"/>
    <n v="52"/>
    <n v="7.5903063557384548E-2"/>
  </r>
  <r>
    <x v="855"/>
    <x v="2"/>
    <x v="504"/>
    <x v="5"/>
    <x v="1"/>
    <x v="1"/>
    <n v="22087"/>
    <n v="14182"/>
    <n v="183"/>
    <n v="108"/>
    <n v="137"/>
    <n v="3.0179100267945284E-2"/>
  </r>
  <r>
    <x v="856"/>
    <x v="3"/>
    <x v="486"/>
    <x v="9"/>
    <x v="1"/>
    <x v="2"/>
    <n v="295436"/>
    <n v="113806"/>
    <n v="9040"/>
    <n v="1908"/>
    <n v="4719"/>
    <n v="0.1376640950389259"/>
  </r>
  <r>
    <x v="857"/>
    <x v="3"/>
    <x v="488"/>
    <x v="0"/>
    <x v="0"/>
    <x v="3"/>
    <n v="52951"/>
    <n v="16963"/>
    <n v="1395"/>
    <n v="404"/>
    <n v="528"/>
    <n v="0.13718092318575723"/>
  </r>
  <r>
    <x v="858"/>
    <x v="0"/>
    <x v="178"/>
    <x v="0"/>
    <x v="0"/>
    <x v="0"/>
    <n v="14623"/>
    <n v="7165"/>
    <n v="351"/>
    <n v="46"/>
    <n v="187"/>
    <n v="8.150732728541521E-2"/>
  </r>
  <r>
    <x v="859"/>
    <x v="1"/>
    <x v="43"/>
    <x v="1"/>
    <x v="1"/>
    <x v="4"/>
    <n v="16904"/>
    <n v="7010"/>
    <n v="399"/>
    <n v="85"/>
    <n v="24"/>
    <n v="7.2467902995720396E-2"/>
  </r>
  <r>
    <x v="860"/>
    <x v="1"/>
    <x v="505"/>
    <x v="4"/>
    <x v="1"/>
    <x v="2"/>
    <n v="38223"/>
    <n v="15515"/>
    <n v="1141"/>
    <n v="149"/>
    <n v="128"/>
    <n v="9.1395423783435389E-2"/>
  </r>
  <r>
    <x v="861"/>
    <x v="1"/>
    <x v="255"/>
    <x v="11"/>
    <x v="1"/>
    <x v="2"/>
    <n v="33576"/>
    <n v="20539"/>
    <n v="1466"/>
    <n v="253"/>
    <n v="168"/>
    <n v="9.1873995812843862E-2"/>
  </r>
  <r>
    <x v="862"/>
    <x v="2"/>
    <x v="187"/>
    <x v="0"/>
    <x v="1"/>
    <x v="1"/>
    <n v="1717"/>
    <n v="1264"/>
    <n v="32"/>
    <n v="5"/>
    <n v="12"/>
    <n v="3.8765822784810125E-2"/>
  </r>
  <r>
    <x v="863"/>
    <x v="1"/>
    <x v="339"/>
    <x v="0"/>
    <x v="0"/>
    <x v="4"/>
    <n v="70846"/>
    <n v="29721"/>
    <n v="836"/>
    <n v="407"/>
    <n v="288"/>
    <n v="5.1512398640691764E-2"/>
  </r>
  <r>
    <x v="864"/>
    <x v="2"/>
    <x v="212"/>
    <x v="11"/>
    <x v="0"/>
    <x v="1"/>
    <n v="16001"/>
    <n v="14045"/>
    <n v="198"/>
    <n v="60"/>
    <n v="62"/>
    <n v="2.2783908864364544E-2"/>
  </r>
  <r>
    <x v="865"/>
    <x v="3"/>
    <x v="3"/>
    <x v="3"/>
    <x v="0"/>
    <x v="2"/>
    <n v="222413"/>
    <n v="136652"/>
    <n v="14940"/>
    <n v="970"/>
    <n v="2340"/>
    <n v="0.13355091765945615"/>
  </r>
  <r>
    <x v="866"/>
    <x v="3"/>
    <x v="502"/>
    <x v="7"/>
    <x v="1"/>
    <x v="2"/>
    <n v="371354"/>
    <n v="158284"/>
    <n v="14566"/>
    <n v="2207"/>
    <n v="5270"/>
    <n v="0.13926233858128428"/>
  </r>
  <r>
    <x v="867"/>
    <x v="2"/>
    <x v="506"/>
    <x v="11"/>
    <x v="1"/>
    <x v="1"/>
    <n v="19988"/>
    <n v="11201"/>
    <n v="120"/>
    <n v="83"/>
    <n v="116"/>
    <n v="2.8479600035711098E-2"/>
  </r>
  <r>
    <x v="868"/>
    <x v="2"/>
    <x v="202"/>
    <x v="2"/>
    <x v="0"/>
    <x v="1"/>
    <n v="2183"/>
    <n v="1582"/>
    <n v="9"/>
    <n v="3"/>
    <n v="22"/>
    <n v="2.1491782553729456E-2"/>
  </r>
  <r>
    <x v="869"/>
    <x v="3"/>
    <x v="507"/>
    <x v="7"/>
    <x v="0"/>
    <x v="2"/>
    <n v="447455"/>
    <n v="248265"/>
    <n v="27946"/>
    <n v="2847"/>
    <n v="2710"/>
    <n v="0.13494854288764022"/>
  </r>
  <r>
    <x v="870"/>
    <x v="3"/>
    <x v="508"/>
    <x v="11"/>
    <x v="0"/>
    <x v="3"/>
    <n v="375754"/>
    <n v="180192"/>
    <n v="20777"/>
    <n v="4687"/>
    <n v="7363"/>
    <n v="0.18217789912981708"/>
  </r>
  <r>
    <x v="871"/>
    <x v="2"/>
    <x v="84"/>
    <x v="2"/>
    <x v="1"/>
    <x v="2"/>
    <n v="58711"/>
    <n v="51306"/>
    <n v="1211"/>
    <n v="398"/>
    <n v="675"/>
    <n v="4.451721046271391E-2"/>
  </r>
  <r>
    <x v="872"/>
    <x v="3"/>
    <x v="281"/>
    <x v="1"/>
    <x v="1"/>
    <x v="3"/>
    <n v="315347"/>
    <n v="113639"/>
    <n v="11492"/>
    <n v="2613"/>
    <n v="5573"/>
    <n v="0.17316238263272293"/>
  </r>
  <r>
    <x v="873"/>
    <x v="2"/>
    <x v="319"/>
    <x v="5"/>
    <x v="0"/>
    <x v="0"/>
    <n v="976"/>
    <n v="644"/>
    <n v="16"/>
    <n v="2"/>
    <n v="10"/>
    <n v="4.3478260869565216E-2"/>
  </r>
  <r>
    <x v="874"/>
    <x v="0"/>
    <x v="150"/>
    <x v="1"/>
    <x v="1"/>
    <x v="4"/>
    <n v="19264"/>
    <n v="12632"/>
    <n v="157"/>
    <n v="39"/>
    <n v="129"/>
    <n v="2.5728309056364789E-2"/>
  </r>
  <r>
    <x v="875"/>
    <x v="3"/>
    <x v="509"/>
    <x v="3"/>
    <x v="1"/>
    <x v="2"/>
    <n v="476942"/>
    <n v="275182"/>
    <n v="17135"/>
    <n v="3065"/>
    <n v="3541"/>
    <n v="8.6273811513834481E-2"/>
  </r>
  <r>
    <x v="876"/>
    <x v="0"/>
    <x v="495"/>
    <x v="1"/>
    <x v="1"/>
    <x v="1"/>
    <n v="13582"/>
    <n v="5738"/>
    <n v="57"/>
    <n v="49"/>
    <n v="115"/>
    <n v="3.851516207737888E-2"/>
  </r>
  <r>
    <x v="877"/>
    <x v="0"/>
    <x v="258"/>
    <x v="4"/>
    <x v="0"/>
    <x v="2"/>
    <n v="28843"/>
    <n v="19168"/>
    <n v="698"/>
    <n v="117"/>
    <n v="149"/>
    <n v="5.0292153589315526E-2"/>
  </r>
  <r>
    <x v="878"/>
    <x v="0"/>
    <x v="354"/>
    <x v="6"/>
    <x v="1"/>
    <x v="0"/>
    <n v="29866"/>
    <n v="13649"/>
    <n v="310"/>
    <n v="230"/>
    <n v="392"/>
    <n v="6.8283390724595203E-2"/>
  </r>
  <r>
    <x v="879"/>
    <x v="0"/>
    <x v="368"/>
    <x v="10"/>
    <x v="0"/>
    <x v="4"/>
    <n v="29825"/>
    <n v="16209"/>
    <n v="256"/>
    <n v="164"/>
    <n v="252"/>
    <n v="4.1458449009809363E-2"/>
  </r>
  <r>
    <x v="880"/>
    <x v="1"/>
    <x v="395"/>
    <x v="8"/>
    <x v="1"/>
    <x v="3"/>
    <n v="22627"/>
    <n v="12566"/>
    <n v="267"/>
    <n v="57"/>
    <n v="43"/>
    <n v="2.9205793410791023E-2"/>
  </r>
  <r>
    <x v="881"/>
    <x v="2"/>
    <x v="7"/>
    <x v="7"/>
    <x v="1"/>
    <x v="1"/>
    <n v="3548"/>
    <n v="2994"/>
    <n v="78"/>
    <n v="14"/>
    <n v="14"/>
    <n v="3.5404141616566465E-2"/>
  </r>
  <r>
    <x v="882"/>
    <x v="1"/>
    <x v="410"/>
    <x v="2"/>
    <x v="0"/>
    <x v="1"/>
    <n v="25939"/>
    <n v="10890"/>
    <n v="633"/>
    <n v="43"/>
    <n v="71"/>
    <n v="6.8595041322314046E-2"/>
  </r>
  <r>
    <x v="883"/>
    <x v="0"/>
    <x v="502"/>
    <x v="7"/>
    <x v="1"/>
    <x v="0"/>
    <n v="5443"/>
    <n v="2215"/>
    <n v="30"/>
    <n v="39"/>
    <n v="54"/>
    <n v="5.5530474040632057E-2"/>
  </r>
  <r>
    <x v="884"/>
    <x v="1"/>
    <x v="425"/>
    <x v="0"/>
    <x v="0"/>
    <x v="2"/>
    <n v="66171"/>
    <n v="42597"/>
    <n v="2477"/>
    <n v="500"/>
    <n v="76"/>
    <n v="7.1671713970467399E-2"/>
  </r>
  <r>
    <x v="885"/>
    <x v="0"/>
    <x v="510"/>
    <x v="1"/>
    <x v="1"/>
    <x v="2"/>
    <n v="16428"/>
    <n v="5621"/>
    <n v="56"/>
    <n v="78"/>
    <n v="39"/>
    <n v="3.0777441736345845E-2"/>
  </r>
  <r>
    <x v="886"/>
    <x v="1"/>
    <x v="511"/>
    <x v="2"/>
    <x v="0"/>
    <x v="4"/>
    <n v="33748"/>
    <n v="20652"/>
    <n v="1454"/>
    <n v="46"/>
    <n v="194"/>
    <n v="8.2025953902769705E-2"/>
  </r>
  <r>
    <x v="887"/>
    <x v="3"/>
    <x v="490"/>
    <x v="10"/>
    <x v="1"/>
    <x v="3"/>
    <n v="257884"/>
    <n v="169444"/>
    <n v="13273"/>
    <n v="3292"/>
    <n v="3944"/>
    <n v="0.12103703878567551"/>
  </r>
  <r>
    <x v="888"/>
    <x v="1"/>
    <x v="512"/>
    <x v="2"/>
    <x v="1"/>
    <x v="4"/>
    <n v="45413"/>
    <n v="34207"/>
    <n v="802"/>
    <n v="100"/>
    <n v="178"/>
    <n v="3.157248516385535E-2"/>
  </r>
  <r>
    <x v="889"/>
    <x v="2"/>
    <x v="104"/>
    <x v="2"/>
    <x v="1"/>
    <x v="0"/>
    <n v="1754"/>
    <n v="1371"/>
    <n v="25"/>
    <n v="6"/>
    <n v="6"/>
    <n v="2.6987600291757841E-2"/>
  </r>
  <r>
    <x v="890"/>
    <x v="2"/>
    <x v="513"/>
    <x v="11"/>
    <x v="0"/>
    <x v="1"/>
    <n v="276"/>
    <n v="248"/>
    <n v="5"/>
    <n v="1"/>
    <n v="2"/>
    <n v="3.2258064516129031E-2"/>
  </r>
  <r>
    <x v="891"/>
    <x v="0"/>
    <x v="24"/>
    <x v="1"/>
    <x v="1"/>
    <x v="4"/>
    <n v="15505"/>
    <n v="6664"/>
    <n v="145"/>
    <n v="27"/>
    <n v="145"/>
    <n v="4.7569027611044416E-2"/>
  </r>
  <r>
    <x v="892"/>
    <x v="2"/>
    <x v="215"/>
    <x v="1"/>
    <x v="1"/>
    <x v="2"/>
    <n v="14933"/>
    <n v="8845"/>
    <n v="112"/>
    <n v="44"/>
    <n v="68"/>
    <n v="2.532504239683437E-2"/>
  </r>
  <r>
    <x v="893"/>
    <x v="3"/>
    <x v="265"/>
    <x v="6"/>
    <x v="0"/>
    <x v="3"/>
    <n v="81936"/>
    <n v="52909"/>
    <n v="2978"/>
    <n v="740"/>
    <n v="2081"/>
    <n v="0.10960328110529399"/>
  </r>
  <r>
    <x v="894"/>
    <x v="1"/>
    <x v="75"/>
    <x v="0"/>
    <x v="0"/>
    <x v="3"/>
    <n v="57977"/>
    <n v="40677"/>
    <n v="2927"/>
    <n v="527"/>
    <n v="120"/>
    <n v="8.7862920077685175E-2"/>
  </r>
  <r>
    <x v="895"/>
    <x v="1"/>
    <x v="481"/>
    <x v="6"/>
    <x v="1"/>
    <x v="3"/>
    <n v="89229"/>
    <n v="62294"/>
    <n v="2398"/>
    <n v="801"/>
    <n v="138"/>
    <n v="5.3568561980287026E-2"/>
  </r>
  <r>
    <x v="896"/>
    <x v="4"/>
    <x v="433"/>
    <x v="10"/>
    <x v="0"/>
    <x v="4"/>
    <n v="4496"/>
    <n v="2387"/>
    <n v="67"/>
    <n v="40"/>
    <n v="17"/>
    <n v="5.1948051948051951E-2"/>
  </r>
  <r>
    <x v="897"/>
    <x v="3"/>
    <x v="119"/>
    <x v="10"/>
    <x v="1"/>
    <x v="3"/>
    <n v="114649"/>
    <n v="40915"/>
    <n v="4905"/>
    <n v="627"/>
    <n v="1019"/>
    <n v="0.16011242820481486"/>
  </r>
  <r>
    <x v="898"/>
    <x v="1"/>
    <x v="491"/>
    <x v="4"/>
    <x v="0"/>
    <x v="4"/>
    <n v="57763"/>
    <n v="39016"/>
    <n v="2813"/>
    <n v="376"/>
    <n v="121"/>
    <n v="8.4836989952839864E-2"/>
  </r>
  <r>
    <x v="899"/>
    <x v="2"/>
    <x v="361"/>
    <x v="9"/>
    <x v="1"/>
    <x v="0"/>
    <n v="13664"/>
    <n v="7037"/>
    <n v="193"/>
    <n v="40"/>
    <n v="28"/>
    <n v="3.7089668892994171E-2"/>
  </r>
  <r>
    <x v="900"/>
    <x v="0"/>
    <x v="297"/>
    <x v="4"/>
    <x v="0"/>
    <x v="2"/>
    <n v="64115"/>
    <n v="40522"/>
    <n v="595"/>
    <n v="676"/>
    <n v="1102"/>
    <n v="5.8560781797542073E-2"/>
  </r>
  <r>
    <x v="901"/>
    <x v="3"/>
    <x v="139"/>
    <x v="3"/>
    <x v="1"/>
    <x v="3"/>
    <n v="90328"/>
    <n v="42224"/>
    <n v="1995"/>
    <n v="1075"/>
    <n v="1562"/>
    <n v="0.10970064418340281"/>
  </r>
  <r>
    <x v="902"/>
    <x v="1"/>
    <x v="43"/>
    <x v="1"/>
    <x v="1"/>
    <x v="1"/>
    <n v="35571"/>
    <n v="26417"/>
    <n v="1163"/>
    <n v="337"/>
    <n v="87"/>
    <n v="6.0074951735624785E-2"/>
  </r>
  <r>
    <x v="903"/>
    <x v="1"/>
    <x v="137"/>
    <x v="6"/>
    <x v="0"/>
    <x v="1"/>
    <n v="40905"/>
    <n v="31015"/>
    <n v="2164"/>
    <n v="203"/>
    <n v="58"/>
    <n v="7.8187973561180069E-2"/>
  </r>
  <r>
    <x v="904"/>
    <x v="1"/>
    <x v="514"/>
    <x v="8"/>
    <x v="1"/>
    <x v="1"/>
    <n v="28847"/>
    <n v="16971"/>
    <n v="1078"/>
    <n v="73"/>
    <n v="164"/>
    <n v="7.7485121678156854E-2"/>
  </r>
  <r>
    <x v="905"/>
    <x v="0"/>
    <x v="515"/>
    <x v="7"/>
    <x v="0"/>
    <x v="0"/>
    <n v="4581"/>
    <n v="1515"/>
    <n v="34"/>
    <n v="13"/>
    <n v="45"/>
    <n v="6.0726072607260727E-2"/>
  </r>
  <r>
    <x v="906"/>
    <x v="3"/>
    <x v="366"/>
    <x v="11"/>
    <x v="1"/>
    <x v="2"/>
    <n v="231187"/>
    <n v="120922"/>
    <n v="6396"/>
    <n v="3163"/>
    <n v="3519"/>
    <n v="0.10815236268007476"/>
  </r>
  <r>
    <x v="907"/>
    <x v="1"/>
    <x v="311"/>
    <x v="4"/>
    <x v="1"/>
    <x v="1"/>
    <n v="19046"/>
    <n v="10075"/>
    <n v="319"/>
    <n v="147"/>
    <n v="67"/>
    <n v="5.2903225806451612E-2"/>
  </r>
  <r>
    <x v="908"/>
    <x v="1"/>
    <x v="22"/>
    <x v="11"/>
    <x v="0"/>
    <x v="3"/>
    <n v="24051"/>
    <n v="10657"/>
    <n v="755"/>
    <n v="153"/>
    <n v="85"/>
    <n v="9.3178192737168056E-2"/>
  </r>
  <r>
    <x v="909"/>
    <x v="1"/>
    <x v="69"/>
    <x v="8"/>
    <x v="1"/>
    <x v="2"/>
    <n v="72929"/>
    <n v="38930"/>
    <n v="1482"/>
    <n v="471"/>
    <n v="84"/>
    <n v="5.2324685332648342E-2"/>
  </r>
  <r>
    <x v="910"/>
    <x v="3"/>
    <x v="172"/>
    <x v="7"/>
    <x v="0"/>
    <x v="3"/>
    <n v="53676"/>
    <n v="37463"/>
    <n v="1490"/>
    <n v="282"/>
    <n v="1104"/>
    <n v="7.6769078824440118E-2"/>
  </r>
  <r>
    <x v="911"/>
    <x v="1"/>
    <x v="325"/>
    <x v="9"/>
    <x v="0"/>
    <x v="2"/>
    <n v="71115"/>
    <n v="34108"/>
    <n v="1168"/>
    <n v="322"/>
    <n v="214"/>
    <n v="4.9958953911105899E-2"/>
  </r>
  <r>
    <x v="912"/>
    <x v="3"/>
    <x v="313"/>
    <x v="11"/>
    <x v="0"/>
    <x v="3"/>
    <n v="37114"/>
    <n v="21005"/>
    <n v="2220"/>
    <n v="571"/>
    <n v="995"/>
    <n v="0.18024279933349202"/>
  </r>
  <r>
    <x v="913"/>
    <x v="4"/>
    <x v="482"/>
    <x v="8"/>
    <x v="0"/>
    <x v="0"/>
    <n v="2081"/>
    <n v="917"/>
    <n v="37"/>
    <n v="14"/>
    <n v="8"/>
    <n v="6.4340239912759001E-2"/>
  </r>
  <r>
    <x v="914"/>
    <x v="2"/>
    <x v="385"/>
    <x v="0"/>
    <x v="1"/>
    <x v="0"/>
    <n v="1845"/>
    <n v="1615"/>
    <n v="38"/>
    <n v="3"/>
    <n v="8"/>
    <n v="3.0340557275541795E-2"/>
  </r>
  <r>
    <x v="915"/>
    <x v="2"/>
    <x v="516"/>
    <x v="8"/>
    <x v="1"/>
    <x v="1"/>
    <n v="4817"/>
    <n v="3595"/>
    <n v="106"/>
    <n v="21"/>
    <n v="32"/>
    <n v="4.4228094575799723E-2"/>
  </r>
  <r>
    <x v="916"/>
    <x v="3"/>
    <x v="121"/>
    <x v="1"/>
    <x v="1"/>
    <x v="3"/>
    <n v="128853"/>
    <n v="68911"/>
    <n v="7500"/>
    <n v="596"/>
    <n v="1685"/>
    <n v="0.14193670096211056"/>
  </r>
  <r>
    <x v="917"/>
    <x v="1"/>
    <x v="517"/>
    <x v="5"/>
    <x v="0"/>
    <x v="3"/>
    <n v="57654"/>
    <n v="26522"/>
    <n v="1262"/>
    <n v="79"/>
    <n v="132"/>
    <n v="5.553879797903627E-2"/>
  </r>
  <r>
    <x v="918"/>
    <x v="3"/>
    <x v="518"/>
    <x v="0"/>
    <x v="0"/>
    <x v="3"/>
    <n v="47053"/>
    <n v="21925"/>
    <n v="2027"/>
    <n v="225"/>
    <n v="1001"/>
    <n v="0.14836944127708096"/>
  </r>
  <r>
    <x v="919"/>
    <x v="3"/>
    <x v="114"/>
    <x v="3"/>
    <x v="1"/>
    <x v="3"/>
    <n v="350053"/>
    <n v="177316"/>
    <n v="7347"/>
    <n v="1039"/>
    <n v="5092"/>
    <n v="7.601118906359268E-2"/>
  </r>
  <r>
    <x v="920"/>
    <x v="3"/>
    <x v="519"/>
    <x v="4"/>
    <x v="0"/>
    <x v="2"/>
    <n v="129192"/>
    <n v="60725"/>
    <n v="2190"/>
    <n v="1267"/>
    <n v="758"/>
    <n v="6.941128036228901E-2"/>
  </r>
  <r>
    <x v="921"/>
    <x v="3"/>
    <x v="246"/>
    <x v="11"/>
    <x v="1"/>
    <x v="3"/>
    <n v="289201"/>
    <n v="117343"/>
    <n v="8320"/>
    <n v="2383"/>
    <n v="1721"/>
    <n v="0.10587764076255081"/>
  </r>
  <r>
    <x v="922"/>
    <x v="0"/>
    <x v="520"/>
    <x v="2"/>
    <x v="1"/>
    <x v="2"/>
    <n v="14173"/>
    <n v="9631"/>
    <n v="381"/>
    <n v="172"/>
    <n v="109"/>
    <n v="6.8736372131658188E-2"/>
  </r>
  <r>
    <x v="923"/>
    <x v="0"/>
    <x v="521"/>
    <x v="11"/>
    <x v="0"/>
    <x v="4"/>
    <n v="47814"/>
    <n v="18972"/>
    <n v="249"/>
    <n v="259"/>
    <n v="340"/>
    <n v="4.4697448872021928E-2"/>
  </r>
  <r>
    <x v="924"/>
    <x v="1"/>
    <x v="484"/>
    <x v="5"/>
    <x v="1"/>
    <x v="3"/>
    <n v="1353"/>
    <n v="957"/>
    <n v="72"/>
    <n v="12"/>
    <n v="8"/>
    <n v="9.6133751306165097E-2"/>
  </r>
  <r>
    <x v="925"/>
    <x v="4"/>
    <x v="44"/>
    <x v="11"/>
    <x v="0"/>
    <x v="0"/>
    <n v="16306"/>
    <n v="11783"/>
    <n v="533"/>
    <n v="293"/>
    <n v="166"/>
    <n v="8.4189085971314609E-2"/>
  </r>
  <r>
    <x v="926"/>
    <x v="1"/>
    <x v="329"/>
    <x v="3"/>
    <x v="0"/>
    <x v="3"/>
    <n v="69358"/>
    <n v="34743"/>
    <n v="749"/>
    <n v="342"/>
    <n v="49"/>
    <n v="3.2812365080735685E-2"/>
  </r>
  <r>
    <x v="927"/>
    <x v="0"/>
    <x v="334"/>
    <x v="5"/>
    <x v="0"/>
    <x v="2"/>
    <n v="39610"/>
    <n v="15900"/>
    <n v="721"/>
    <n v="100"/>
    <n v="172"/>
    <n v="6.2452830188679247E-2"/>
  </r>
  <r>
    <x v="928"/>
    <x v="1"/>
    <x v="522"/>
    <x v="2"/>
    <x v="1"/>
    <x v="3"/>
    <n v="47145"/>
    <n v="34797"/>
    <n v="806"/>
    <n v="193"/>
    <n v="185"/>
    <n v="3.4025921774865651E-2"/>
  </r>
  <r>
    <x v="929"/>
    <x v="4"/>
    <x v="319"/>
    <x v="5"/>
    <x v="0"/>
    <x v="0"/>
    <n v="1328"/>
    <n v="886"/>
    <n v="52"/>
    <n v="18"/>
    <n v="2"/>
    <n v="8.1264108352144468E-2"/>
  </r>
  <r>
    <x v="930"/>
    <x v="0"/>
    <x v="37"/>
    <x v="9"/>
    <x v="0"/>
    <x v="4"/>
    <n v="44711"/>
    <n v="29695"/>
    <n v="1326"/>
    <n v="363"/>
    <n v="565"/>
    <n v="7.590503451759556E-2"/>
  </r>
  <r>
    <x v="931"/>
    <x v="0"/>
    <x v="44"/>
    <x v="11"/>
    <x v="0"/>
    <x v="4"/>
    <n v="9790"/>
    <n v="4339"/>
    <n v="208"/>
    <n v="50"/>
    <n v="31"/>
    <n v="6.6605208573404004E-2"/>
  </r>
  <r>
    <x v="932"/>
    <x v="1"/>
    <x v="233"/>
    <x v="1"/>
    <x v="0"/>
    <x v="3"/>
    <n v="82927"/>
    <n v="48095"/>
    <n v="2222"/>
    <n v="323"/>
    <n v="426"/>
    <n v="6.1773573136500677E-2"/>
  </r>
  <r>
    <x v="933"/>
    <x v="1"/>
    <x v="480"/>
    <x v="8"/>
    <x v="0"/>
    <x v="2"/>
    <n v="68786"/>
    <n v="52234"/>
    <n v="2949"/>
    <n v="388"/>
    <n v="204"/>
    <n v="6.7791093923498108E-2"/>
  </r>
  <r>
    <x v="934"/>
    <x v="1"/>
    <x v="173"/>
    <x v="11"/>
    <x v="1"/>
    <x v="2"/>
    <n v="79894"/>
    <n v="44755"/>
    <n v="2566"/>
    <n v="422"/>
    <n v="338"/>
    <n v="7.4315718914087808E-2"/>
  </r>
  <r>
    <x v="935"/>
    <x v="3"/>
    <x v="523"/>
    <x v="3"/>
    <x v="1"/>
    <x v="2"/>
    <n v="373146"/>
    <n v="195558"/>
    <n v="12870"/>
    <n v="1644"/>
    <n v="4133"/>
    <n v="9.5352785362910239E-2"/>
  </r>
  <r>
    <x v="936"/>
    <x v="0"/>
    <x v="524"/>
    <x v="5"/>
    <x v="0"/>
    <x v="0"/>
    <n v="28164"/>
    <n v="11721"/>
    <n v="495"/>
    <n v="54"/>
    <n v="246"/>
    <n v="6.7826977220373688E-2"/>
  </r>
  <r>
    <x v="937"/>
    <x v="4"/>
    <x v="504"/>
    <x v="5"/>
    <x v="1"/>
    <x v="0"/>
    <n v="4663"/>
    <n v="2579"/>
    <n v="57"/>
    <n v="29"/>
    <n v="20"/>
    <n v="4.1101202016285379E-2"/>
  </r>
  <r>
    <x v="938"/>
    <x v="1"/>
    <x v="525"/>
    <x v="5"/>
    <x v="1"/>
    <x v="2"/>
    <n v="23546"/>
    <n v="14843"/>
    <n v="798"/>
    <n v="102"/>
    <n v="32"/>
    <n v="6.2790540995755581E-2"/>
  </r>
  <r>
    <x v="939"/>
    <x v="0"/>
    <x v="80"/>
    <x v="3"/>
    <x v="1"/>
    <x v="1"/>
    <n v="9924"/>
    <n v="6406"/>
    <n v="92"/>
    <n v="42"/>
    <n v="147"/>
    <n v="4.3865126443958791E-2"/>
  </r>
  <r>
    <x v="940"/>
    <x v="3"/>
    <x v="521"/>
    <x v="11"/>
    <x v="0"/>
    <x v="2"/>
    <n v="39904"/>
    <n v="19181"/>
    <n v="2144"/>
    <n v="430"/>
    <n v="436"/>
    <n v="0.1569261248110109"/>
  </r>
  <r>
    <x v="941"/>
    <x v="0"/>
    <x v="468"/>
    <x v="6"/>
    <x v="1"/>
    <x v="2"/>
    <n v="22877"/>
    <n v="9782"/>
    <n v="128"/>
    <n v="195"/>
    <n v="169"/>
    <n v="5.0296462891024331E-2"/>
  </r>
  <r>
    <x v="942"/>
    <x v="3"/>
    <x v="467"/>
    <x v="7"/>
    <x v="0"/>
    <x v="2"/>
    <n v="252248"/>
    <n v="168800"/>
    <n v="9359"/>
    <n v="2215"/>
    <n v="2569"/>
    <n v="8.3785545023696686E-2"/>
  </r>
  <r>
    <x v="943"/>
    <x v="2"/>
    <x v="366"/>
    <x v="11"/>
    <x v="1"/>
    <x v="1"/>
    <n v="16226"/>
    <n v="13962"/>
    <n v="281"/>
    <n v="89"/>
    <n v="44"/>
    <n v="2.9651912333476579E-2"/>
  </r>
  <r>
    <x v="944"/>
    <x v="4"/>
    <x v="526"/>
    <x v="2"/>
    <x v="0"/>
    <x v="0"/>
    <n v="5362"/>
    <n v="3547"/>
    <n v="98"/>
    <n v="26"/>
    <n v="27"/>
    <n v="4.2571186918522692E-2"/>
  </r>
  <r>
    <x v="945"/>
    <x v="0"/>
    <x v="527"/>
    <x v="6"/>
    <x v="0"/>
    <x v="4"/>
    <n v="43568"/>
    <n v="28301"/>
    <n v="1119"/>
    <n v="376"/>
    <n v="362"/>
    <n v="6.5616055969753714E-2"/>
  </r>
  <r>
    <x v="946"/>
    <x v="4"/>
    <x v="489"/>
    <x v="5"/>
    <x v="1"/>
    <x v="2"/>
    <n v="7280"/>
    <n v="3066"/>
    <n v="61"/>
    <n v="73"/>
    <n v="23"/>
    <n v="5.1206784083496409E-2"/>
  </r>
  <r>
    <x v="947"/>
    <x v="2"/>
    <x v="528"/>
    <x v="0"/>
    <x v="0"/>
    <x v="0"/>
    <n v="10413"/>
    <n v="8906"/>
    <n v="137"/>
    <n v="39"/>
    <n v="24"/>
    <n v="2.2456770716370984E-2"/>
  </r>
  <r>
    <x v="948"/>
    <x v="1"/>
    <x v="504"/>
    <x v="5"/>
    <x v="1"/>
    <x v="2"/>
    <n v="15038"/>
    <n v="8320"/>
    <n v="337"/>
    <n v="96"/>
    <n v="53"/>
    <n v="5.8413461538461539E-2"/>
  </r>
  <r>
    <x v="949"/>
    <x v="3"/>
    <x v="527"/>
    <x v="6"/>
    <x v="0"/>
    <x v="3"/>
    <n v="245722"/>
    <n v="96249"/>
    <n v="10979"/>
    <n v="1999"/>
    <n v="4264"/>
    <n v="0.17913952352751716"/>
  </r>
  <r>
    <x v="950"/>
    <x v="2"/>
    <x v="384"/>
    <x v="6"/>
    <x v="1"/>
    <x v="0"/>
    <n v="11451"/>
    <n v="5857"/>
    <n v="49"/>
    <n v="26"/>
    <n v="61"/>
    <n v="2.322007853850094E-2"/>
  </r>
  <r>
    <x v="951"/>
    <x v="0"/>
    <x v="529"/>
    <x v="1"/>
    <x v="1"/>
    <x v="1"/>
    <n v="5966"/>
    <n v="3019"/>
    <n v="50"/>
    <n v="58"/>
    <n v="27"/>
    <n v="4.4716793640278238E-2"/>
  </r>
  <r>
    <x v="952"/>
    <x v="4"/>
    <x v="530"/>
    <x v="7"/>
    <x v="0"/>
    <x v="2"/>
    <n v="47465"/>
    <n v="37269"/>
    <n v="1872"/>
    <n v="551"/>
    <n v="334"/>
    <n v="7.3975690251952025E-2"/>
  </r>
  <r>
    <x v="953"/>
    <x v="2"/>
    <x v="150"/>
    <x v="1"/>
    <x v="1"/>
    <x v="2"/>
    <n v="746"/>
    <n v="392"/>
    <n v="6"/>
    <n v="0"/>
    <n v="3"/>
    <n v="2.2959183673469389E-2"/>
  </r>
  <r>
    <x v="954"/>
    <x v="1"/>
    <x v="243"/>
    <x v="4"/>
    <x v="1"/>
    <x v="3"/>
    <n v="49179"/>
    <n v="19677"/>
    <n v="1531"/>
    <n v="57"/>
    <n v="42"/>
    <n v="8.2837830970168211E-2"/>
  </r>
  <r>
    <x v="955"/>
    <x v="0"/>
    <x v="496"/>
    <x v="2"/>
    <x v="1"/>
    <x v="0"/>
    <n v="6392"/>
    <n v="2878"/>
    <n v="100"/>
    <n v="41"/>
    <n v="60"/>
    <n v="6.9840166782487834E-2"/>
  </r>
  <r>
    <x v="956"/>
    <x v="4"/>
    <x v="531"/>
    <x v="3"/>
    <x v="1"/>
    <x v="1"/>
    <n v="13214"/>
    <n v="9289"/>
    <n v="463"/>
    <n v="159"/>
    <n v="137"/>
    <n v="8.1709548928840567E-2"/>
  </r>
  <r>
    <x v="957"/>
    <x v="3"/>
    <x v="277"/>
    <x v="5"/>
    <x v="0"/>
    <x v="2"/>
    <n v="273634"/>
    <n v="133368"/>
    <n v="9781"/>
    <n v="3873"/>
    <n v="5187"/>
    <n v="0.14127076959990403"/>
  </r>
  <r>
    <x v="958"/>
    <x v="2"/>
    <x v="249"/>
    <x v="10"/>
    <x v="1"/>
    <x v="1"/>
    <n v="7961"/>
    <n v="6392"/>
    <n v="73"/>
    <n v="7"/>
    <n v="101"/>
    <n v="2.8316645807259073E-2"/>
  </r>
  <r>
    <x v="959"/>
    <x v="1"/>
    <x v="236"/>
    <x v="0"/>
    <x v="1"/>
    <x v="2"/>
    <n v="12719"/>
    <n v="5518"/>
    <n v="325"/>
    <n v="40"/>
    <n v="21"/>
    <n v="6.9952881478796664E-2"/>
  </r>
  <r>
    <x v="960"/>
    <x v="1"/>
    <x v="532"/>
    <x v="7"/>
    <x v="1"/>
    <x v="1"/>
    <n v="21544"/>
    <n v="13950"/>
    <n v="297"/>
    <n v="111"/>
    <n v="107"/>
    <n v="3.6917562724014336E-2"/>
  </r>
  <r>
    <x v="961"/>
    <x v="1"/>
    <x v="533"/>
    <x v="1"/>
    <x v="0"/>
    <x v="2"/>
    <n v="99969"/>
    <n v="42551"/>
    <n v="1344"/>
    <n v="311"/>
    <n v="284"/>
    <n v="4.5568846795609977E-2"/>
  </r>
  <r>
    <x v="962"/>
    <x v="3"/>
    <x v="281"/>
    <x v="1"/>
    <x v="1"/>
    <x v="3"/>
    <n v="277010"/>
    <n v="138818"/>
    <n v="5929"/>
    <n v="4065"/>
    <n v="5079"/>
    <n v="0.10858101975248166"/>
  </r>
  <r>
    <x v="963"/>
    <x v="0"/>
    <x v="405"/>
    <x v="5"/>
    <x v="0"/>
    <x v="2"/>
    <n v="14165"/>
    <n v="9162"/>
    <n v="147"/>
    <n v="94"/>
    <n v="176"/>
    <n v="4.5514079895219384E-2"/>
  </r>
  <r>
    <x v="964"/>
    <x v="1"/>
    <x v="348"/>
    <x v="2"/>
    <x v="1"/>
    <x v="2"/>
    <n v="62223"/>
    <n v="34365"/>
    <n v="2184"/>
    <n v="233"/>
    <n v="155"/>
    <n v="7.4843590862796447E-2"/>
  </r>
  <r>
    <x v="965"/>
    <x v="3"/>
    <x v="323"/>
    <x v="5"/>
    <x v="0"/>
    <x v="2"/>
    <n v="376541"/>
    <n v="148247"/>
    <n v="17640"/>
    <n v="4413"/>
    <n v="5267"/>
    <n v="0.18428703447624573"/>
  </r>
  <r>
    <x v="966"/>
    <x v="0"/>
    <x v="488"/>
    <x v="0"/>
    <x v="0"/>
    <x v="1"/>
    <n v="6165"/>
    <n v="2175"/>
    <n v="64"/>
    <n v="15"/>
    <n v="64"/>
    <n v="6.5747126436781614E-2"/>
  </r>
  <r>
    <x v="967"/>
    <x v="2"/>
    <x v="534"/>
    <x v="10"/>
    <x v="1"/>
    <x v="0"/>
    <n v="23521"/>
    <n v="20054"/>
    <n v="160"/>
    <n v="111"/>
    <n v="185"/>
    <n v="2.2738605764436023E-2"/>
  </r>
  <r>
    <x v="968"/>
    <x v="4"/>
    <x v="535"/>
    <x v="2"/>
    <x v="1"/>
    <x v="4"/>
    <n v="9282"/>
    <n v="5962"/>
    <n v="234"/>
    <n v="75"/>
    <n v="42"/>
    <n v="5.8872861455887285E-2"/>
  </r>
  <r>
    <x v="969"/>
    <x v="2"/>
    <x v="536"/>
    <x v="3"/>
    <x v="0"/>
    <x v="2"/>
    <n v="26423"/>
    <n v="15975"/>
    <n v="282"/>
    <n v="23"/>
    <n v="257"/>
    <n v="3.5179968701095458E-2"/>
  </r>
  <r>
    <x v="970"/>
    <x v="2"/>
    <x v="56"/>
    <x v="1"/>
    <x v="0"/>
    <x v="1"/>
    <n v="5462"/>
    <n v="3524"/>
    <n v="103"/>
    <n v="11"/>
    <n v="31"/>
    <n v="4.1146424517593642E-2"/>
  </r>
  <r>
    <x v="971"/>
    <x v="2"/>
    <x v="186"/>
    <x v="1"/>
    <x v="0"/>
    <x v="0"/>
    <n v="9373"/>
    <n v="6591"/>
    <n v="156"/>
    <n v="10"/>
    <n v="98"/>
    <n v="4.0054619936276743E-2"/>
  </r>
  <r>
    <x v="972"/>
    <x v="4"/>
    <x v="130"/>
    <x v="10"/>
    <x v="1"/>
    <x v="2"/>
    <n v="11118"/>
    <n v="5229"/>
    <n v="196"/>
    <n v="30"/>
    <n v="69"/>
    <n v="5.6416140753490149E-2"/>
  </r>
  <r>
    <x v="973"/>
    <x v="1"/>
    <x v="33"/>
    <x v="4"/>
    <x v="0"/>
    <x v="4"/>
    <n v="20217"/>
    <n v="8590"/>
    <n v="355"/>
    <n v="91"/>
    <n v="84"/>
    <n v="6.1699650756693827E-2"/>
  </r>
  <r>
    <x v="974"/>
    <x v="4"/>
    <x v="537"/>
    <x v="8"/>
    <x v="0"/>
    <x v="4"/>
    <n v="27250"/>
    <n v="16118"/>
    <n v="527"/>
    <n v="269"/>
    <n v="143"/>
    <n v="5.8257848368283904E-2"/>
  </r>
  <r>
    <x v="975"/>
    <x v="4"/>
    <x v="83"/>
    <x v="6"/>
    <x v="1"/>
    <x v="0"/>
    <n v="11600"/>
    <n v="4905"/>
    <n v="284"/>
    <n v="73"/>
    <n v="34"/>
    <n v="7.9714576962283387E-2"/>
  </r>
  <r>
    <x v="976"/>
    <x v="3"/>
    <x v="83"/>
    <x v="6"/>
    <x v="1"/>
    <x v="2"/>
    <n v="422218"/>
    <n v="218271"/>
    <n v="13194"/>
    <n v="5257"/>
    <n v="9736"/>
    <n v="0.12913763165972575"/>
  </r>
  <r>
    <x v="977"/>
    <x v="0"/>
    <x v="538"/>
    <x v="3"/>
    <x v="0"/>
    <x v="0"/>
    <n v="7766"/>
    <n v="2559"/>
    <n v="118"/>
    <n v="48"/>
    <n v="75"/>
    <n v="9.4177413051973427E-2"/>
  </r>
  <r>
    <x v="978"/>
    <x v="1"/>
    <x v="539"/>
    <x v="10"/>
    <x v="1"/>
    <x v="4"/>
    <n v="40881"/>
    <n v="28847"/>
    <n v="866"/>
    <n v="207"/>
    <n v="178"/>
    <n v="4.3366727909314659E-2"/>
  </r>
  <r>
    <x v="979"/>
    <x v="4"/>
    <x v="123"/>
    <x v="3"/>
    <x v="1"/>
    <x v="1"/>
    <n v="14948"/>
    <n v="8117"/>
    <n v="414"/>
    <n v="163"/>
    <n v="36"/>
    <n v="7.5520512504619927E-2"/>
  </r>
  <r>
    <x v="980"/>
    <x v="3"/>
    <x v="4"/>
    <x v="4"/>
    <x v="1"/>
    <x v="2"/>
    <n v="423592"/>
    <n v="184173"/>
    <n v="11210"/>
    <n v="4113"/>
    <n v="2791"/>
    <n v="9.8353178804710784E-2"/>
  </r>
  <r>
    <x v="981"/>
    <x v="0"/>
    <x v="425"/>
    <x v="0"/>
    <x v="0"/>
    <x v="0"/>
    <n v="25434"/>
    <n v="17008"/>
    <n v="433"/>
    <n v="75"/>
    <n v="442"/>
    <n v="5.585606773283161E-2"/>
  </r>
  <r>
    <x v="982"/>
    <x v="4"/>
    <x v="243"/>
    <x v="4"/>
    <x v="1"/>
    <x v="4"/>
    <n v="4418"/>
    <n v="2307"/>
    <n v="116"/>
    <n v="22"/>
    <n v="14"/>
    <n v="6.5886432596445596E-2"/>
  </r>
  <r>
    <x v="983"/>
    <x v="0"/>
    <x v="520"/>
    <x v="2"/>
    <x v="1"/>
    <x v="4"/>
    <n v="2777"/>
    <n v="1342"/>
    <n v="66"/>
    <n v="5"/>
    <n v="25"/>
    <n v="7.1535022354694486E-2"/>
  </r>
  <r>
    <x v="984"/>
    <x v="4"/>
    <x v="5"/>
    <x v="5"/>
    <x v="1"/>
    <x v="0"/>
    <n v="11582"/>
    <n v="5633"/>
    <n v="93"/>
    <n v="73"/>
    <n v="32"/>
    <n v="3.515000887626487E-2"/>
  </r>
  <r>
    <x v="985"/>
    <x v="0"/>
    <x v="341"/>
    <x v="9"/>
    <x v="0"/>
    <x v="0"/>
    <n v="5501"/>
    <n v="3359"/>
    <n v="75"/>
    <n v="27"/>
    <n v="56"/>
    <n v="4.7037808871688E-2"/>
  </r>
  <r>
    <x v="986"/>
    <x v="2"/>
    <x v="138"/>
    <x v="2"/>
    <x v="1"/>
    <x v="0"/>
    <n v="4273"/>
    <n v="2786"/>
    <n v="65"/>
    <n v="21"/>
    <n v="50"/>
    <n v="4.8815506101938265E-2"/>
  </r>
  <r>
    <x v="987"/>
    <x v="4"/>
    <x v="243"/>
    <x v="4"/>
    <x v="1"/>
    <x v="2"/>
    <n v="22423"/>
    <n v="17363"/>
    <n v="539"/>
    <n v="246"/>
    <n v="144"/>
    <n v="5.3504578701837238E-2"/>
  </r>
  <r>
    <x v="988"/>
    <x v="0"/>
    <x v="51"/>
    <x v="6"/>
    <x v="1"/>
    <x v="4"/>
    <n v="20903"/>
    <n v="10809"/>
    <n v="304"/>
    <n v="127"/>
    <n v="200"/>
    <n v="5.8377278194097514E-2"/>
  </r>
  <r>
    <x v="989"/>
    <x v="1"/>
    <x v="364"/>
    <x v="2"/>
    <x v="0"/>
    <x v="3"/>
    <n v="96470"/>
    <n v="57260"/>
    <n v="1230"/>
    <n v="539"/>
    <n v="144"/>
    <n v="3.3409011526370942E-2"/>
  </r>
  <r>
    <x v="990"/>
    <x v="2"/>
    <x v="303"/>
    <x v="3"/>
    <x v="0"/>
    <x v="1"/>
    <n v="14054"/>
    <n v="9988"/>
    <n v="217"/>
    <n v="41"/>
    <n v="62"/>
    <n v="3.2038446135362435E-2"/>
  </r>
  <r>
    <x v="991"/>
    <x v="2"/>
    <x v="479"/>
    <x v="0"/>
    <x v="1"/>
    <x v="0"/>
    <n v="3747"/>
    <n v="1978"/>
    <n v="26"/>
    <n v="4"/>
    <n v="23"/>
    <n v="2.6794742163801819E-2"/>
  </r>
  <r>
    <x v="992"/>
    <x v="0"/>
    <x v="124"/>
    <x v="8"/>
    <x v="1"/>
    <x v="0"/>
    <n v="10380"/>
    <n v="4344"/>
    <n v="131"/>
    <n v="71"/>
    <n v="37"/>
    <n v="5.5018416206261508E-2"/>
  </r>
  <r>
    <x v="993"/>
    <x v="2"/>
    <x v="503"/>
    <x v="1"/>
    <x v="0"/>
    <x v="0"/>
    <n v="22714"/>
    <n v="14395"/>
    <n v="298"/>
    <n v="92"/>
    <n v="119"/>
    <n v="3.5359499826328585E-2"/>
  </r>
  <r>
    <x v="994"/>
    <x v="0"/>
    <x v="411"/>
    <x v="2"/>
    <x v="1"/>
    <x v="4"/>
    <n v="26648"/>
    <n v="9105"/>
    <n v="204"/>
    <n v="127"/>
    <n v="107"/>
    <n v="4.8105436573311365E-2"/>
  </r>
  <r>
    <x v="995"/>
    <x v="1"/>
    <x v="540"/>
    <x v="5"/>
    <x v="0"/>
    <x v="1"/>
    <n v="2934"/>
    <n v="1462"/>
    <n v="116"/>
    <n v="19"/>
    <n v="1"/>
    <n v="9.3023255813953487E-2"/>
  </r>
  <r>
    <x v="996"/>
    <x v="1"/>
    <x v="511"/>
    <x v="2"/>
    <x v="0"/>
    <x v="4"/>
    <n v="84023"/>
    <n v="35548"/>
    <n v="2015"/>
    <n v="347"/>
    <n v="74"/>
    <n v="6.852706200067514E-2"/>
  </r>
  <r>
    <x v="997"/>
    <x v="0"/>
    <x v="541"/>
    <x v="8"/>
    <x v="0"/>
    <x v="0"/>
    <n v="10873"/>
    <n v="4156"/>
    <n v="61"/>
    <n v="16"/>
    <n v="22"/>
    <n v="2.3820981713185755E-2"/>
  </r>
  <r>
    <x v="998"/>
    <x v="0"/>
    <x v="191"/>
    <x v="11"/>
    <x v="1"/>
    <x v="2"/>
    <n v="2959"/>
    <n v="1258"/>
    <n v="17"/>
    <n v="10"/>
    <n v="28"/>
    <n v="4.372019077901431E-2"/>
  </r>
  <r>
    <x v="999"/>
    <x v="3"/>
    <x v="542"/>
    <x v="5"/>
    <x v="0"/>
    <x v="3"/>
    <n v="132006"/>
    <n v="59268"/>
    <n v="4064"/>
    <n v="1000"/>
    <n v="2514"/>
    <n v="0.127859890666126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5AA6B-9285-428B-AD24-32E0DABB480A}" name="PlatformContent"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1">
  <location ref="A24:B46" firstHeaderRow="1" firstDataRow="1" firstDataCol="1"/>
  <pivotFields count="19">
    <pivotField showAll="0"/>
    <pivotField axis="axisRow"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showAll="0"/>
    <pivotField showAll="0">
      <items count="3">
        <item x="1"/>
        <item x="0"/>
        <item t="default"/>
      </items>
    </pivotField>
    <pivotField axis="axisRow" showAll="0">
      <items count="6">
        <item x="4"/>
        <item x="1"/>
        <item x="3"/>
        <item x="0"/>
        <item x="2"/>
        <item t="default"/>
      </items>
    </pivotField>
    <pivotField numFmtId="3" showAll="0"/>
    <pivotField numFmtId="3" showAll="0"/>
    <pivotField numFmtId="3" showAll="0"/>
    <pivotField numFmtId="3" showAll="0"/>
    <pivotField numFmtId="3" showAll="0"/>
    <pivotField dataField="1"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5"/>
  </rowFields>
  <rowItems count="22">
    <i>
      <x/>
    </i>
    <i r="1">
      <x/>
    </i>
    <i r="1">
      <x v="1"/>
    </i>
    <i r="1">
      <x v="3"/>
    </i>
    <i r="1">
      <x v="4"/>
    </i>
    <i>
      <x v="1"/>
    </i>
    <i r="1">
      <x/>
    </i>
    <i r="1">
      <x v="1"/>
    </i>
    <i r="1">
      <x v="2"/>
    </i>
    <i r="1">
      <x v="4"/>
    </i>
    <i>
      <x v="2"/>
    </i>
    <i r="1">
      <x/>
    </i>
    <i r="1">
      <x v="1"/>
    </i>
    <i r="1">
      <x v="3"/>
    </i>
    <i r="1">
      <x v="4"/>
    </i>
    <i>
      <x v="3"/>
    </i>
    <i r="1">
      <x v="2"/>
    </i>
    <i r="1">
      <x v="4"/>
    </i>
    <i>
      <x v="4"/>
    </i>
    <i r="1">
      <x v="1"/>
    </i>
    <i r="1">
      <x v="3"/>
    </i>
    <i r="1">
      <x v="4"/>
    </i>
  </rowItems>
  <colItems count="1">
    <i/>
  </colItems>
  <dataFields count="1">
    <dataField name="Sum of Engagement Rate %"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A9EED-0526-412A-80F1-1120F4E72311}" name="BOT10"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9">
  <location ref="A100:G111" firstHeaderRow="1" firstDataRow="2" firstDataCol="2"/>
  <pivotFields count="19">
    <pivotField axis="axisRow" compact="0" outline="0" showAll="0" measureFilter="1" sortType="descending"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autoSortScope>
        <pivotArea dataOnly="0" outline="0" fieldPosition="0">
          <references count="1">
            <reference field="4294967294" count="1" selected="0">
              <x v="0"/>
            </reference>
          </references>
        </pivotArea>
      </autoSortScope>
    </pivotField>
    <pivotField axis="axisCol"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axis="axisRow" compact="0" outline="0" showAll="0">
      <items count="6">
        <item x="4"/>
        <item x="1"/>
        <item x="3"/>
        <item x="0"/>
        <item x="2"/>
        <item t="default"/>
      </items>
    </pivotField>
    <pivotField compact="0" numFmtId="3" outline="0" showAll="0"/>
    <pivotField compact="0" numFmtId="3" outline="0" showAll="0"/>
    <pivotField compact="0" numFmtId="3" outline="0" showAll="0"/>
    <pivotField compact="0" numFmtId="3" outline="0" showAll="0"/>
    <pivotField compact="0" numFmtId="3" outline="0" showAll="0"/>
    <pivotField dataField="1"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0"/>
    <field x="5"/>
  </rowFields>
  <rowItems count="10">
    <i>
      <x v="65"/>
      <x v="3"/>
    </i>
    <i>
      <x v="623"/>
      <x v="1"/>
    </i>
    <i>
      <x v="686"/>
      <x v="3"/>
    </i>
    <i>
      <x v="619"/>
      <x v="1"/>
    </i>
    <i>
      <x v="763"/>
      <x v="1"/>
    </i>
    <i>
      <x v="497"/>
      <x v="4"/>
    </i>
    <i>
      <x v="568"/>
      <x v="3"/>
    </i>
    <i>
      <x v="713"/>
      <x v="1"/>
    </i>
    <i>
      <x v="742"/>
      <x v="1"/>
    </i>
    <i>
      <x v="249"/>
      <x v="3"/>
    </i>
  </rowItems>
  <colFields count="1">
    <field x="1"/>
  </colFields>
  <colItems count="5">
    <i>
      <x/>
    </i>
    <i>
      <x v="1"/>
    </i>
    <i>
      <x v="2"/>
    </i>
    <i>
      <x v="3"/>
    </i>
    <i>
      <x v="4"/>
    </i>
  </colItems>
  <dataFields count="1">
    <dataField name="Average of Engagement Rate %" fld="11" subtotal="average" baseField="1" baseItem="0" numFmtId="10"/>
  </dataFields>
  <chartFormats count="49">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 chart="9" format="5" series="1">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4">
          <reference field="4294967294" count="1" selected="0">
            <x v="0"/>
          </reference>
          <reference field="0" count="1" selected="0">
            <x v="423"/>
          </reference>
          <reference field="1" count="1" selected="0">
            <x v="3"/>
          </reference>
          <reference field="5" count="1" selected="0">
            <x v="2"/>
          </reference>
        </references>
      </pivotArea>
    </chartFormat>
    <chartFormat chart="9" format="7">
      <pivotArea type="data" outline="0" fieldPosition="0">
        <references count="4">
          <reference field="4294967294" count="1" selected="0">
            <x v="0"/>
          </reference>
          <reference field="0" count="1" selected="0">
            <x v="965"/>
          </reference>
          <reference field="1" count="1" selected="0">
            <x v="3"/>
          </reference>
          <reference field="5" count="1" selected="0">
            <x v="4"/>
          </reference>
        </references>
      </pivotArea>
    </chartFormat>
    <chartFormat chart="9" format="8">
      <pivotArea type="data" outline="0" fieldPosition="0">
        <references count="4">
          <reference field="4294967294" count="1" selected="0">
            <x v="0"/>
          </reference>
          <reference field="0" count="1" selected="0">
            <x v="701"/>
          </reference>
          <reference field="1" count="1" selected="0">
            <x v="3"/>
          </reference>
          <reference field="5" count="1" selected="0">
            <x v="2"/>
          </reference>
        </references>
      </pivotArea>
    </chartFormat>
    <chartFormat chart="9" format="9">
      <pivotArea type="data" outline="0" fieldPosition="0">
        <references count="4">
          <reference field="4294967294" count="1" selected="0">
            <x v="0"/>
          </reference>
          <reference field="0" count="1" selected="0">
            <x v="464"/>
          </reference>
          <reference field="1" count="1" selected="0">
            <x v="3"/>
          </reference>
          <reference field="5" count="1" selected="0">
            <x v="2"/>
          </reference>
        </references>
      </pivotArea>
    </chartFormat>
    <chartFormat chart="9" format="10">
      <pivotArea type="data" outline="0" fieldPosition="0">
        <references count="4">
          <reference field="4294967294" count="1" selected="0">
            <x v="0"/>
          </reference>
          <reference field="0" count="1" selected="0">
            <x v="870"/>
          </reference>
          <reference field="1" count="1" selected="0">
            <x v="3"/>
          </reference>
          <reference field="5" count="1" selected="0">
            <x v="2"/>
          </reference>
        </references>
      </pivotArea>
    </chartFormat>
    <chartFormat chart="9" format="11">
      <pivotArea type="data" outline="0" fieldPosition="0">
        <references count="4">
          <reference field="4294967294" count="1" selected="0">
            <x v="0"/>
          </reference>
          <reference field="0" count="1" selected="0">
            <x v="912"/>
          </reference>
          <reference field="1" count="1" selected="0">
            <x v="3"/>
          </reference>
          <reference field="5" count="1" selected="0">
            <x v="2"/>
          </reference>
        </references>
      </pivotArea>
    </chartFormat>
    <chartFormat chart="9" format="12">
      <pivotArea type="data" outline="0" fieldPosition="0">
        <references count="4">
          <reference field="4294967294" count="1" selected="0">
            <x v="0"/>
          </reference>
          <reference field="0" count="1" selected="0">
            <x v="467"/>
          </reference>
          <reference field="1" count="1" selected="0">
            <x v="3"/>
          </reference>
          <reference field="5" count="1" selected="0">
            <x v="4"/>
          </reference>
        </references>
      </pivotArea>
    </chartFormat>
    <chartFormat chart="9" format="13">
      <pivotArea type="data" outline="0" fieldPosition="0">
        <references count="4">
          <reference field="4294967294" count="1" selected="0">
            <x v="0"/>
          </reference>
          <reference field="0" count="1" selected="0">
            <x v="949"/>
          </reference>
          <reference field="1" count="1" selected="0">
            <x v="3"/>
          </reference>
          <reference field="5" count="1" selected="0">
            <x v="2"/>
          </reference>
        </references>
      </pivotArea>
    </chartFormat>
    <chartFormat chart="9" format="14">
      <pivotArea type="data" outline="0" fieldPosition="0">
        <references count="4">
          <reference field="4294967294" count="1" selected="0">
            <x v="0"/>
          </reference>
          <reference field="0" count="1" selected="0">
            <x v="372"/>
          </reference>
          <reference field="1" count="1" selected="0">
            <x v="3"/>
          </reference>
          <reference field="5" count="1" selected="0">
            <x v="2"/>
          </reference>
        </references>
      </pivotArea>
    </chartFormat>
    <chartFormat chart="9" format="15">
      <pivotArea type="data" outline="0" fieldPosition="0">
        <references count="4">
          <reference field="4294967294" count="1" selected="0">
            <x v="0"/>
          </reference>
          <reference field="0" count="1" selected="0">
            <x v="377"/>
          </reference>
          <reference field="1" count="1" selected="0">
            <x v="3"/>
          </reference>
          <reference field="5" count="1" selected="0">
            <x v="2"/>
          </reference>
        </references>
      </pivotArea>
    </chartFormat>
    <chartFormat chart="12" format="31" series="1">
      <pivotArea type="data" outline="0" fieldPosition="0">
        <references count="2">
          <reference field="4294967294" count="1" selected="0">
            <x v="0"/>
          </reference>
          <reference field="1" count="1" selected="0">
            <x v="0"/>
          </reference>
        </references>
      </pivotArea>
    </chartFormat>
    <chartFormat chart="12" format="32" series="1">
      <pivotArea type="data" outline="0" fieldPosition="0">
        <references count="2">
          <reference field="4294967294" count="1" selected="0">
            <x v="0"/>
          </reference>
          <reference field="1" count="1" selected="0">
            <x v="1"/>
          </reference>
        </references>
      </pivotArea>
    </chartFormat>
    <chartFormat chart="12" format="33" series="1">
      <pivotArea type="data" outline="0" fieldPosition="0">
        <references count="2">
          <reference field="4294967294" count="1" selected="0">
            <x v="0"/>
          </reference>
          <reference field="1" count="1" selected="0">
            <x v="2"/>
          </reference>
        </references>
      </pivotArea>
    </chartFormat>
    <chartFormat chart="12" format="34" series="1">
      <pivotArea type="data" outline="0" fieldPosition="0">
        <references count="2">
          <reference field="4294967294" count="1" selected="0">
            <x v="0"/>
          </reference>
          <reference field="1" count="1" selected="0">
            <x v="3"/>
          </reference>
        </references>
      </pivotArea>
    </chartFormat>
    <chartFormat chart="12" format="35" series="1">
      <pivotArea type="data" outline="0" fieldPosition="0">
        <references count="2">
          <reference field="4294967294" count="1" selected="0">
            <x v="0"/>
          </reference>
          <reference field="1" count="1" selected="0">
            <x v="4"/>
          </reference>
        </references>
      </pivotArea>
    </chartFormat>
    <chartFormat chart="12" format="36">
      <pivotArea type="data" outline="0" fieldPosition="0">
        <references count="4">
          <reference field="4294967294" count="1" selected="0">
            <x v="0"/>
          </reference>
          <reference field="0" count="1" selected="0">
            <x v="377"/>
          </reference>
          <reference field="1" count="1" selected="0">
            <x v="3"/>
          </reference>
          <reference field="5" count="1" selected="0">
            <x v="2"/>
          </reference>
        </references>
      </pivotArea>
    </chartFormat>
    <chartFormat chart="12" format="37">
      <pivotArea type="data" outline="0" fieldPosition="0">
        <references count="4">
          <reference field="4294967294" count="1" selected="0">
            <x v="0"/>
          </reference>
          <reference field="0" count="1" selected="0">
            <x v="372"/>
          </reference>
          <reference field="1" count="1" selected="0">
            <x v="3"/>
          </reference>
          <reference field="5" count="1" selected="0">
            <x v="2"/>
          </reference>
        </references>
      </pivotArea>
    </chartFormat>
    <chartFormat chart="12" format="38">
      <pivotArea type="data" outline="0" fieldPosition="0">
        <references count="4">
          <reference field="4294967294" count="1" selected="0">
            <x v="0"/>
          </reference>
          <reference field="0" count="1" selected="0">
            <x v="949"/>
          </reference>
          <reference field="1" count="1" selected="0">
            <x v="3"/>
          </reference>
          <reference field="5" count="1" selected="0">
            <x v="2"/>
          </reference>
        </references>
      </pivotArea>
    </chartFormat>
    <chartFormat chart="12" format="39">
      <pivotArea type="data" outline="0" fieldPosition="0">
        <references count="4">
          <reference field="4294967294" count="1" selected="0">
            <x v="0"/>
          </reference>
          <reference field="0" count="1" selected="0">
            <x v="467"/>
          </reference>
          <reference field="1" count="1" selected="0">
            <x v="3"/>
          </reference>
          <reference field="5" count="1" selected="0">
            <x v="4"/>
          </reference>
        </references>
      </pivotArea>
    </chartFormat>
    <chartFormat chart="12" format="40">
      <pivotArea type="data" outline="0" fieldPosition="0">
        <references count="4">
          <reference field="4294967294" count="1" selected="0">
            <x v="0"/>
          </reference>
          <reference field="0" count="1" selected="0">
            <x v="912"/>
          </reference>
          <reference field="1" count="1" selected="0">
            <x v="3"/>
          </reference>
          <reference field="5" count="1" selected="0">
            <x v="2"/>
          </reference>
        </references>
      </pivotArea>
    </chartFormat>
    <chartFormat chart="12" format="41">
      <pivotArea type="data" outline="0" fieldPosition="0">
        <references count="4">
          <reference field="4294967294" count="1" selected="0">
            <x v="0"/>
          </reference>
          <reference field="0" count="1" selected="0">
            <x v="870"/>
          </reference>
          <reference field="1" count="1" selected="0">
            <x v="3"/>
          </reference>
          <reference field="5" count="1" selected="0">
            <x v="2"/>
          </reference>
        </references>
      </pivotArea>
    </chartFormat>
    <chartFormat chart="12" format="42">
      <pivotArea type="data" outline="0" fieldPosition="0">
        <references count="4">
          <reference field="4294967294" count="1" selected="0">
            <x v="0"/>
          </reference>
          <reference field="0" count="1" selected="0">
            <x v="464"/>
          </reference>
          <reference field="1" count="1" selected="0">
            <x v="3"/>
          </reference>
          <reference field="5" count="1" selected="0">
            <x v="2"/>
          </reference>
        </references>
      </pivotArea>
    </chartFormat>
    <chartFormat chart="12" format="43">
      <pivotArea type="data" outline="0" fieldPosition="0">
        <references count="4">
          <reference field="4294967294" count="1" selected="0">
            <x v="0"/>
          </reference>
          <reference field="0" count="1" selected="0">
            <x v="701"/>
          </reference>
          <reference field="1" count="1" selected="0">
            <x v="3"/>
          </reference>
          <reference field="5" count="1" selected="0">
            <x v="2"/>
          </reference>
        </references>
      </pivotArea>
    </chartFormat>
    <chartFormat chart="12" format="44">
      <pivotArea type="data" outline="0" fieldPosition="0">
        <references count="4">
          <reference field="4294967294" count="1" selected="0">
            <x v="0"/>
          </reference>
          <reference field="0" count="1" selected="0">
            <x v="965"/>
          </reference>
          <reference field="1" count="1" selected="0">
            <x v="3"/>
          </reference>
          <reference field="5" count="1" selected="0">
            <x v="4"/>
          </reference>
        </references>
      </pivotArea>
    </chartFormat>
    <chartFormat chart="12" format="45">
      <pivotArea type="data" outline="0" fieldPosition="0">
        <references count="4">
          <reference field="4294967294" count="1" selected="0">
            <x v="0"/>
          </reference>
          <reference field="0" count="1" selected="0">
            <x v="423"/>
          </reference>
          <reference field="1" count="1" selected="0">
            <x v="3"/>
          </reference>
          <reference field="5" count="1" selected="0">
            <x v="2"/>
          </reference>
        </references>
      </pivotArea>
    </chartFormat>
    <chartFormat chart="18" format="30" series="1">
      <pivotArea type="data" outline="0" fieldPosition="0">
        <references count="2">
          <reference field="4294967294" count="1" selected="0">
            <x v="0"/>
          </reference>
          <reference field="1" count="1" selected="0">
            <x v="0"/>
          </reference>
        </references>
      </pivotArea>
    </chartFormat>
    <chartFormat chart="18" format="31" series="1">
      <pivotArea type="data" outline="0" fieldPosition="0">
        <references count="2">
          <reference field="4294967294" count="1" selected="0">
            <x v="0"/>
          </reference>
          <reference field="1" count="1" selected="0">
            <x v="1"/>
          </reference>
        </references>
      </pivotArea>
    </chartFormat>
    <chartFormat chart="18" format="32" series="1">
      <pivotArea type="data" outline="0" fieldPosition="0">
        <references count="2">
          <reference field="4294967294" count="1" selected="0">
            <x v="0"/>
          </reference>
          <reference field="1" count="1" selected="0">
            <x v="2"/>
          </reference>
        </references>
      </pivotArea>
    </chartFormat>
    <chartFormat chart="18" format="33" series="1">
      <pivotArea type="data" outline="0" fieldPosition="0">
        <references count="2">
          <reference field="4294967294" count="1" selected="0">
            <x v="0"/>
          </reference>
          <reference field="1" count="1" selected="0">
            <x v="3"/>
          </reference>
        </references>
      </pivotArea>
    </chartFormat>
    <chartFormat chart="18" format="34" series="1">
      <pivotArea type="data" outline="0" fieldPosition="0">
        <references count="2">
          <reference field="4294967294" count="1" selected="0">
            <x v="0"/>
          </reference>
          <reference field="1" count="1" selected="0">
            <x v="4"/>
          </reference>
        </references>
      </pivotArea>
    </chartFormat>
    <chartFormat chart="18" format="35" series="1">
      <pivotArea type="data" outline="0" fieldPosition="0">
        <references count="1">
          <reference field="4294967294" count="1" selected="0">
            <x v="0"/>
          </reference>
        </references>
      </pivotArea>
    </chartFormat>
    <chartFormat chart="18" format="36">
      <pivotArea type="data" outline="0" fieldPosition="0">
        <references count="4">
          <reference field="4294967294" count="1" selected="0">
            <x v="0"/>
          </reference>
          <reference field="0" count="1" selected="0">
            <x v="65"/>
          </reference>
          <reference field="1" count="1" selected="0">
            <x v="4"/>
          </reference>
          <reference field="5" count="1" selected="0">
            <x v="3"/>
          </reference>
        </references>
      </pivotArea>
    </chartFormat>
    <chartFormat chart="18" format="37">
      <pivotArea type="data" outline="0" fieldPosition="0">
        <references count="4">
          <reference field="4294967294" count="1" selected="0">
            <x v="0"/>
          </reference>
          <reference field="0" count="1" selected="0">
            <x v="623"/>
          </reference>
          <reference field="1" count="1" selected="0">
            <x v="4"/>
          </reference>
          <reference field="5" count="1" selected="0">
            <x v="1"/>
          </reference>
        </references>
      </pivotArea>
    </chartFormat>
    <chartFormat chart="18" format="38">
      <pivotArea type="data" outline="0" fieldPosition="0">
        <references count="4">
          <reference field="4294967294" count="1" selected="0">
            <x v="0"/>
          </reference>
          <reference field="0" count="1" selected="0">
            <x v="686"/>
          </reference>
          <reference field="1" count="1" selected="0">
            <x v="4"/>
          </reference>
          <reference field="5" count="1" selected="0">
            <x v="3"/>
          </reference>
        </references>
      </pivotArea>
    </chartFormat>
    <chartFormat chart="18" format="39">
      <pivotArea type="data" outline="0" fieldPosition="0">
        <references count="4">
          <reference field="4294967294" count="1" selected="0">
            <x v="0"/>
          </reference>
          <reference field="0" count="1" selected="0">
            <x v="619"/>
          </reference>
          <reference field="1" count="1" selected="0">
            <x v="4"/>
          </reference>
          <reference field="5" count="1" selected="0">
            <x v="1"/>
          </reference>
        </references>
      </pivotArea>
    </chartFormat>
    <chartFormat chart="18" format="40">
      <pivotArea type="data" outline="0" fieldPosition="0">
        <references count="4">
          <reference field="4294967294" count="1" selected="0">
            <x v="0"/>
          </reference>
          <reference field="0" count="1" selected="0">
            <x v="763"/>
          </reference>
          <reference field="1" count="1" selected="0">
            <x v="4"/>
          </reference>
          <reference field="5" count="1" selected="0">
            <x v="1"/>
          </reference>
        </references>
      </pivotArea>
    </chartFormat>
    <chartFormat chart="18" format="41">
      <pivotArea type="data" outline="0" fieldPosition="0">
        <references count="4">
          <reference field="4294967294" count="1" selected="0">
            <x v="0"/>
          </reference>
          <reference field="0" count="1" selected="0">
            <x v="497"/>
          </reference>
          <reference field="1" count="1" selected="0">
            <x v="4"/>
          </reference>
          <reference field="5" count="1" selected="0">
            <x v="4"/>
          </reference>
        </references>
      </pivotArea>
    </chartFormat>
    <chartFormat chart="18" format="42">
      <pivotArea type="data" outline="0" fieldPosition="0">
        <references count="4">
          <reference field="4294967294" count="1" selected="0">
            <x v="0"/>
          </reference>
          <reference field="0" count="1" selected="0">
            <x v="568"/>
          </reference>
          <reference field="1" count="1" selected="0">
            <x v="4"/>
          </reference>
          <reference field="5" count="1" selected="0">
            <x v="3"/>
          </reference>
        </references>
      </pivotArea>
    </chartFormat>
    <chartFormat chart="18" format="43">
      <pivotArea type="data" outline="0" fieldPosition="0">
        <references count="4">
          <reference field="4294967294" count="1" selected="0">
            <x v="0"/>
          </reference>
          <reference field="0" count="1" selected="0">
            <x v="713"/>
          </reference>
          <reference field="1" count="1" selected="0">
            <x v="4"/>
          </reference>
          <reference field="5" count="1" selected="0">
            <x v="1"/>
          </reference>
        </references>
      </pivotArea>
    </chartFormat>
    <chartFormat chart="18" format="44">
      <pivotArea type="data" outline="0" fieldPosition="0">
        <references count="4">
          <reference field="4294967294" count="1" selected="0">
            <x v="0"/>
          </reference>
          <reference field="0" count="1" selected="0">
            <x v="742"/>
          </reference>
          <reference field="1" count="1" selected="0">
            <x v="4"/>
          </reference>
          <reference field="5" count="1" selected="0">
            <x v="1"/>
          </reference>
        </references>
      </pivotArea>
    </chartFormat>
    <chartFormat chart="18" format="45">
      <pivotArea type="data" outline="0" fieldPosition="0">
        <references count="3">
          <reference field="4294967294" count="1" selected="0">
            <x v="0"/>
          </reference>
          <reference field="0" count="1" selected="0">
            <x v="249"/>
          </reference>
          <reference field="1" count="1" selected="0">
            <x v="4"/>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6AC35-A0B8-47A1-9C70-4498C03673FB}" name="EngagementType"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1">
  <location ref="A17:D22" firstHeaderRow="0" firstDataRow="1" firstDataCol="1"/>
  <pivotFields count="19">
    <pivotField showAll="0"/>
    <pivotField axis="axisRow"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showAll="0"/>
    <pivotField showAll="0">
      <items count="3">
        <item x="1"/>
        <item x="0"/>
        <item t="default"/>
      </items>
    </pivotField>
    <pivotField showAll="0">
      <items count="6">
        <item x="4"/>
        <item x="1"/>
        <item x="3"/>
        <item x="0"/>
        <item x="2"/>
        <item t="default"/>
      </items>
    </pivotField>
    <pivotField numFmtId="3" showAll="0"/>
    <pivotField numFmtId="3" showAll="0"/>
    <pivotField numFmtId="3" showAll="0"/>
    <pivotField numFmtId="3" showAll="0"/>
    <pivotField numFmtId="3" showAll="0"/>
    <pivotField numFmtId="165" showAl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x v="4"/>
    </i>
  </rowItems>
  <colFields count="1">
    <field x="-2"/>
  </colFields>
  <colItems count="3">
    <i>
      <x/>
    </i>
    <i i="1">
      <x v="1"/>
    </i>
    <i i="2">
      <x v="2"/>
    </i>
  </colItems>
  <dataFields count="3">
    <dataField name="Sum of Like %" fld="13" baseField="0" baseItem="0" numFmtId="9"/>
    <dataField name="Sum of Comments %" fld="14" baseField="0" baseItem="0" numFmtId="9"/>
    <dataField name="Sum of Shares %" fld="15" baseField="0" baseItem="0" numFmtId="9"/>
  </dataFields>
  <formats count="3">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2"/>
          </reference>
        </references>
      </pivotArea>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2AF48D-7161-441A-812C-C3C4442BDD4A}" name="Platform" cacheId="0" applyNumberFormats="0" applyBorderFormats="0" applyFontFormats="0" applyPatternFormats="0" applyAlignmentFormats="0" applyWidthHeightFormats="1" dataCaption="Values" updatedVersion="8" minRefreshableVersion="3" itemPrintTitles="1" createdVersion="8" indent="0" multipleFieldFilters="0" chartFormat="1">
  <location ref="A1:E7" firstHeaderRow="0" firstDataRow="1" firstDataCol="1"/>
  <pivotFields count="19">
    <pivotField dataField="1" showAll="0"/>
    <pivotField axis="axisRow"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showAll="0"/>
    <pivotField showAll="0">
      <items count="3">
        <item x="1"/>
        <item x="0"/>
        <item t="default"/>
      </items>
    </pivotField>
    <pivotField showAll="0">
      <items count="6">
        <item x="4"/>
        <item x="1"/>
        <item x="3"/>
        <item x="0"/>
        <item x="2"/>
        <item t="default"/>
      </items>
    </pivotField>
    <pivotField dataField="1" numFmtId="3" showAll="0"/>
    <pivotField numFmtId="3" showAll="0"/>
    <pivotField numFmtId="3" showAll="0"/>
    <pivotField numFmtId="3" showAll="0"/>
    <pivotField numFmtId="3" showAll="0"/>
    <pivotField dataField="1" numFmtId="165"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4">
    <i>
      <x/>
    </i>
    <i i="1">
      <x v="1"/>
    </i>
    <i i="2">
      <x v="2"/>
    </i>
    <i i="3">
      <x v="3"/>
    </i>
  </colItems>
  <dataFields count="4">
    <dataField name="Count of Post ID" fld="0" subtotal="count" baseField="0" baseItem="0"/>
    <dataField name="Average of Impressions" fld="6" subtotal="average" baseField="1" baseItem="0" numFmtId="3"/>
    <dataField name="Average of Engagement Rate %" fld="11" subtotal="average" baseField="1" baseItem="0" numFmtId="10"/>
    <dataField name="Average of Reach Rate" fld="12"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C1CE67-A617-49ED-A992-3E4BCE3659F5}" name="BestContentType"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5">
  <location ref="A125:D135" firstHeaderRow="0" firstDataRow="1" firstDataCol="2"/>
  <pivotFields count="19">
    <pivotField axis="axisRow" compact="0" outline="0" showAll="0" measureFilter="1" sortType="ascending"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autoSortScope>
        <pivotArea dataOnly="0" outline="0" fieldPosition="0">
          <references count="1">
            <reference field="4294967294" count="1" selected="0">
              <x v="0"/>
            </reference>
          </references>
        </pivotArea>
      </autoSortScope>
    </pivotField>
    <pivotField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axis="axisRow" dataField="1" compact="0" outline="0" showAll="0">
      <items count="6">
        <item x="4"/>
        <item x="1"/>
        <item x="3"/>
        <item x="0"/>
        <item x="2"/>
        <item t="default"/>
      </items>
    </pivotField>
    <pivotField compact="0" numFmtId="3" outline="0" showAll="0"/>
    <pivotField compact="0" numFmtId="3" outline="0" showAll="0"/>
    <pivotField compact="0" numFmtId="3" outline="0" showAll="0"/>
    <pivotField compact="0" numFmtId="3" outline="0" showAll="0"/>
    <pivotField compact="0" numFmtId="3" outline="0" showAll="0"/>
    <pivotField dataField="1"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0"/>
    <field x="5"/>
  </rowFields>
  <rowItems count="10">
    <i>
      <x v="377"/>
      <x v="2"/>
    </i>
    <i>
      <x v="372"/>
      <x v="2"/>
    </i>
    <i>
      <x v="949"/>
      <x v="2"/>
    </i>
    <i>
      <x v="467"/>
      <x v="4"/>
    </i>
    <i>
      <x v="912"/>
      <x v="2"/>
    </i>
    <i>
      <x v="870"/>
      <x v="2"/>
    </i>
    <i>
      <x v="464"/>
      <x v="2"/>
    </i>
    <i>
      <x v="701"/>
      <x v="2"/>
    </i>
    <i>
      <x v="965"/>
      <x v="4"/>
    </i>
    <i>
      <x v="423"/>
      <x v="2"/>
    </i>
  </rowItems>
  <colFields count="1">
    <field x="-2"/>
  </colFields>
  <colItems count="2">
    <i>
      <x/>
    </i>
    <i i="1">
      <x v="1"/>
    </i>
  </colItems>
  <dataFields count="2">
    <dataField name="Average of Engagement Rate %" fld="11" subtotal="average" baseField="1" baseItem="0" numFmtId="10"/>
    <dataField name="Count of Content Type" fld="5" subtotal="count" baseField="0" baseItem="0"/>
  </dataFields>
  <chartFormats count="3">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2" format="4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435E9E-298F-4D8C-A454-626719B481AC}" name="BestPlatform"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5">
  <location ref="A113:D123" firstHeaderRow="0" firstDataRow="1" firstDataCol="2"/>
  <pivotFields count="19">
    <pivotField axis="axisRow" compact="0" outline="0" showAll="0" measureFilter="1" sortType="ascending"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autoSortScope>
        <pivotArea dataOnly="0" outline="0" fieldPosition="0">
          <references count="1">
            <reference field="4294967294" count="1" selected="0">
              <x v="0"/>
            </reference>
          </references>
        </pivotArea>
      </autoSortScope>
    </pivotField>
    <pivotField axis="axisRow" dataField="1"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compact="0" outline="0" showAll="0">
      <items count="6">
        <item x="4"/>
        <item x="1"/>
        <item x="3"/>
        <item x="0"/>
        <item x="2"/>
        <item t="default"/>
      </items>
    </pivotField>
    <pivotField compact="0" numFmtId="3" outline="0" showAll="0"/>
    <pivotField compact="0" numFmtId="3" outline="0" showAll="0"/>
    <pivotField compact="0" numFmtId="3" outline="0" showAll="0"/>
    <pivotField compact="0" numFmtId="3" outline="0" showAll="0"/>
    <pivotField compact="0" numFmtId="3" outline="0" showAll="0"/>
    <pivotField dataField="1"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0"/>
    <field x="1"/>
  </rowFields>
  <rowItems count="10">
    <i>
      <x v="377"/>
      <x v="3"/>
    </i>
    <i>
      <x v="372"/>
      <x v="3"/>
    </i>
    <i>
      <x v="949"/>
      <x v="3"/>
    </i>
    <i>
      <x v="467"/>
      <x v="3"/>
    </i>
    <i>
      <x v="912"/>
      <x v="3"/>
    </i>
    <i>
      <x v="870"/>
      <x v="3"/>
    </i>
    <i>
      <x v="464"/>
      <x v="3"/>
    </i>
    <i>
      <x v="701"/>
      <x v="3"/>
    </i>
    <i>
      <x v="965"/>
      <x v="3"/>
    </i>
    <i>
      <x v="423"/>
      <x v="3"/>
    </i>
  </rowItems>
  <colFields count="1">
    <field x="-2"/>
  </colFields>
  <colItems count="2">
    <i>
      <x/>
    </i>
    <i i="1">
      <x v="1"/>
    </i>
  </colItems>
  <dataFields count="2">
    <dataField name="Average of Engagement Rate %" fld="11" subtotal="average" baseField="1" baseItem="0" numFmtId="10"/>
    <dataField name="Count of Platform" fld="1" subtotal="count" baseField="0" baseItem="0"/>
  </dataFields>
  <chartFormats count="9">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2" format="31" series="1">
      <pivotArea type="data" outline="0" fieldPosition="0">
        <references count="2">
          <reference field="4294967294" count="1" selected="0">
            <x v="0"/>
          </reference>
          <reference field="1" count="1" selected="0">
            <x v="0"/>
          </reference>
        </references>
      </pivotArea>
    </chartFormat>
    <chartFormat chart="12" format="32" series="1">
      <pivotArea type="data" outline="0" fieldPosition="0">
        <references count="2">
          <reference field="4294967294" count="1" selected="0">
            <x v="0"/>
          </reference>
          <reference field="1" count="1" selected="0">
            <x v="1"/>
          </reference>
        </references>
      </pivotArea>
    </chartFormat>
    <chartFormat chart="12" format="33" series="1">
      <pivotArea type="data" outline="0" fieldPosition="0">
        <references count="2">
          <reference field="4294967294" count="1" selected="0">
            <x v="0"/>
          </reference>
          <reference field="1" count="1" selected="0">
            <x v="2"/>
          </reference>
        </references>
      </pivotArea>
    </chartFormat>
    <chartFormat chart="12" format="34" series="1">
      <pivotArea type="data" outline="0" fieldPosition="0">
        <references count="2">
          <reference field="4294967294" count="1" selected="0">
            <x v="0"/>
          </reference>
          <reference field="1" count="1" selected="0">
            <x v="3"/>
          </reference>
        </references>
      </pivotArea>
    </chartFormat>
    <chartFormat chart="12" format="35" series="1">
      <pivotArea type="data" outline="0" fieldPosition="0">
        <references count="2">
          <reference field="4294967294" count="1" selected="0">
            <x v="0"/>
          </reference>
          <reference field="1" count="1" selected="0">
            <x v="4"/>
          </reference>
        </references>
      </pivotArea>
    </chartFormat>
    <chartFormat chart="12" format="46" series="1">
      <pivotArea type="data" outline="0" fieldPosition="0">
        <references count="1">
          <reference field="4294967294" count="1" selected="0">
            <x v="0"/>
          </reference>
        </references>
      </pivotArea>
    </chartFormat>
    <chartFormat chart="12" format="47">
      <pivotArea type="data" outline="0" fieldPosition="0">
        <references count="3">
          <reference field="4294967294" count="1" selected="0">
            <x v="0"/>
          </reference>
          <reference field="0" count="1" selected="0">
            <x v="423"/>
          </reference>
          <reference field="1"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BC3347-AF0B-4C62-85B4-F319FE37A9E7}" name="KPI" cacheId="0" applyNumberFormats="0" applyBorderFormats="0" applyFontFormats="0" applyPatternFormats="0" applyAlignmentFormats="0" applyWidthHeightFormats="1" dataCaption="Values" updatedVersion="8" minRefreshableVersion="3" itemPrintTitles="1" createdVersion="8" indent="0" multipleFieldFilters="0" chartFormat="1">
  <location ref="A48:E54" firstHeaderRow="0" firstDataRow="1" firstDataCol="1"/>
  <pivotFields count="19">
    <pivotField dataField="1" showAll="0"/>
    <pivotField axis="axisRow"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showAll="0"/>
    <pivotField showAll="0">
      <items count="3">
        <item x="1"/>
        <item x="0"/>
        <item t="default"/>
      </items>
    </pivotField>
    <pivotField showAll="0">
      <items count="6">
        <item x="4"/>
        <item x="1"/>
        <item x="3"/>
        <item x="0"/>
        <item x="2"/>
        <item t="default"/>
      </items>
    </pivotField>
    <pivotField dataField="1" numFmtId="3" showAll="0"/>
    <pivotField numFmtId="3" showAll="0"/>
    <pivotField numFmtId="3" showAll="0"/>
    <pivotField numFmtId="3" showAll="0"/>
    <pivotField numFmtId="3" showAll="0"/>
    <pivotField dataField="1" numFmtId="165"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4">
    <i>
      <x/>
    </i>
    <i i="1">
      <x v="1"/>
    </i>
    <i i="2">
      <x v="2"/>
    </i>
    <i i="3">
      <x v="3"/>
    </i>
  </colItems>
  <dataFields count="4">
    <dataField name="Count of Post ID" fld="0" subtotal="count" baseField="0" baseItem="0"/>
    <dataField name="Average of Impressions" fld="6" subtotal="average" baseField="1" baseItem="0" numFmtId="3"/>
    <dataField name="Average of Engagement Rate %" fld="11" subtotal="average" baseField="1" baseItem="0" numFmtId="10"/>
    <dataField name="Average of Reach Rate" fld="12"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2DD153-FE0C-4AE2-9E10-BD2D4AA771CD}" name="MonthlyTrend" cacheId="0" applyNumberFormats="0" applyBorderFormats="0" applyFontFormats="0" applyPatternFormats="0" applyAlignmentFormats="0" applyWidthHeightFormats="1" dataCaption="Values" updatedVersion="8" minRefreshableVersion="3" itemPrintTitles="1" createdVersion="8" indent="0" multipleFieldFilters="0" chartFormat="1">
  <location ref="A56:B69" firstHeaderRow="1" firstDataRow="1" firstDataCol="1"/>
  <pivotFields count="19">
    <pivotField showAll="0"/>
    <pivotField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axis="axisRow" showAll="0">
      <items count="13">
        <item x="0"/>
        <item x="9"/>
        <item x="5"/>
        <item x="4"/>
        <item x="2"/>
        <item x="3"/>
        <item x="7"/>
        <item x="6"/>
        <item x="8"/>
        <item x="1"/>
        <item x="11"/>
        <item x="10"/>
        <item t="default"/>
      </items>
    </pivotField>
    <pivotField showAll="0">
      <items count="3">
        <item x="1"/>
        <item x="0"/>
        <item t="default"/>
      </items>
    </pivotField>
    <pivotField showAll="0">
      <items count="6">
        <item x="4"/>
        <item x="1"/>
        <item x="3"/>
        <item x="0"/>
        <item x="2"/>
        <item t="default"/>
      </items>
    </pivotField>
    <pivotField numFmtId="3" showAll="0"/>
    <pivotField numFmtId="3" showAll="0"/>
    <pivotField numFmtId="3" showAll="0"/>
    <pivotField numFmtId="3" showAll="0"/>
    <pivotField numFmtId="3" showAll="0"/>
    <pivotField dataField="1"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Average of Engagement Rate %" fld="11"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A87540-6244-4861-A5C9-279F765CA3E4}" name="PivotTable5"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9">
  <location ref="R1:T1001" firstHeaderRow="0" firstDataRow="1" firstDataCol="1"/>
  <pivotFields count="19">
    <pivotField axis="axisRow" compact="0"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compact="0" outline="0" showAll="0">
      <items count="6">
        <item x="4"/>
        <item x="1"/>
        <item x="3"/>
        <item x="0"/>
        <item x="2"/>
        <item t="default"/>
      </items>
    </pivotField>
    <pivotField dataField="1" compact="0" numFmtId="3" outline="0" showAll="0"/>
    <pivotField dataField="1" compact="0" numFmtId="3" outline="0" showAll="0"/>
    <pivotField compact="0" numFmtId="3" outline="0" showAll="0"/>
    <pivotField compact="0" numFmtId="3" outline="0" showAll="0"/>
    <pivotField compact="0" numFmtId="3" outline="0" showAll="0"/>
    <pivotField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rowItems>
  <colFields count="1">
    <field x="-2"/>
  </colFields>
  <colItems count="2">
    <i>
      <x/>
    </i>
    <i i="1">
      <x v="1"/>
    </i>
  </colItems>
  <dataFields count="2">
    <dataField name="Sum of Impressions" fld="6" baseField="0" baseItem="0" numFmtId="3"/>
    <dataField name="Sum of Reach"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C7A43C-7144-4E0A-B300-0E418DD95A96}" name="TOP10"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5">
  <location ref="A87:G98" firstHeaderRow="1" firstDataRow="2" firstDataCol="2"/>
  <pivotFields count="19">
    <pivotField axis="axisRow" compact="0" outline="0" showAll="0" measureFilter="1" sortType="ascending"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autoSortScope>
        <pivotArea dataOnly="0" outline="0" fieldPosition="0">
          <references count="1">
            <reference field="4294967294" count="1" selected="0">
              <x v="0"/>
            </reference>
          </references>
        </pivotArea>
      </autoSortScope>
    </pivotField>
    <pivotField axis="axisCol"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axis="axisRow" compact="0" outline="0" showAll="0">
      <items count="6">
        <item x="4"/>
        <item x="1"/>
        <item x="3"/>
        <item x="0"/>
        <item x="2"/>
        <item t="default"/>
      </items>
    </pivotField>
    <pivotField compact="0" numFmtId="3" outline="0" showAll="0"/>
    <pivotField compact="0" numFmtId="3" outline="0" showAll="0"/>
    <pivotField compact="0" numFmtId="3" outline="0" showAll="0"/>
    <pivotField compact="0" numFmtId="3" outline="0" showAll="0"/>
    <pivotField compact="0" numFmtId="3" outline="0" showAll="0"/>
    <pivotField dataField="1"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0"/>
    <field x="5"/>
  </rowFields>
  <rowItems count="10">
    <i>
      <x v="377"/>
      <x v="2"/>
    </i>
    <i>
      <x v="372"/>
      <x v="2"/>
    </i>
    <i>
      <x v="949"/>
      <x v="2"/>
    </i>
    <i>
      <x v="467"/>
      <x v="4"/>
    </i>
    <i>
      <x v="912"/>
      <x v="2"/>
    </i>
    <i>
      <x v="870"/>
      <x v="2"/>
    </i>
    <i>
      <x v="464"/>
      <x v="2"/>
    </i>
    <i>
      <x v="701"/>
      <x v="2"/>
    </i>
    <i>
      <x v="965"/>
      <x v="4"/>
    </i>
    <i>
      <x v="423"/>
      <x v="2"/>
    </i>
  </rowItems>
  <colFields count="1">
    <field x="1"/>
  </colFields>
  <colItems count="5">
    <i>
      <x/>
    </i>
    <i>
      <x v="1"/>
    </i>
    <i>
      <x v="2"/>
    </i>
    <i>
      <x v="3"/>
    </i>
    <i>
      <x v="4"/>
    </i>
  </colItems>
  <dataFields count="1">
    <dataField name="Average of Engagement Rate %" fld="11" subtotal="average" baseField="1" baseItem="0" numFmtId="10"/>
  </dataFields>
  <chartFormats count="19">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2" format="31" series="1">
      <pivotArea type="data" outline="0" fieldPosition="0">
        <references count="2">
          <reference field="4294967294" count="1" selected="0">
            <x v="0"/>
          </reference>
          <reference field="1" count="1" selected="0">
            <x v="0"/>
          </reference>
        </references>
      </pivotArea>
    </chartFormat>
    <chartFormat chart="12" format="32" series="1">
      <pivotArea type="data" outline="0" fieldPosition="0">
        <references count="2">
          <reference field="4294967294" count="1" selected="0">
            <x v="0"/>
          </reference>
          <reference field="1" count="1" selected="0">
            <x v="1"/>
          </reference>
        </references>
      </pivotArea>
    </chartFormat>
    <chartFormat chart="12" format="33" series="1">
      <pivotArea type="data" outline="0" fieldPosition="0">
        <references count="2">
          <reference field="4294967294" count="1" selected="0">
            <x v="0"/>
          </reference>
          <reference field="1" count="1" selected="0">
            <x v="2"/>
          </reference>
        </references>
      </pivotArea>
    </chartFormat>
    <chartFormat chart="12" format="34" series="1">
      <pivotArea type="data" outline="0" fieldPosition="0">
        <references count="2">
          <reference field="4294967294" count="1" selected="0">
            <x v="0"/>
          </reference>
          <reference field="1" count="1" selected="0">
            <x v="3"/>
          </reference>
        </references>
      </pivotArea>
    </chartFormat>
    <chartFormat chart="12" format="35" series="1">
      <pivotArea type="data" outline="0" fieldPosition="0">
        <references count="2">
          <reference field="4294967294" count="1" selected="0">
            <x v="0"/>
          </reference>
          <reference field="1" count="1" selected="0">
            <x v="4"/>
          </reference>
        </references>
      </pivotArea>
    </chartFormat>
    <chartFormat chart="12" format="36">
      <pivotArea type="data" outline="0" fieldPosition="0">
        <references count="4">
          <reference field="4294967294" count="1" selected="0">
            <x v="0"/>
          </reference>
          <reference field="0" count="1" selected="0">
            <x v="377"/>
          </reference>
          <reference field="1" count="1" selected="0">
            <x v="3"/>
          </reference>
          <reference field="5" count="1" selected="0">
            <x v="2"/>
          </reference>
        </references>
      </pivotArea>
    </chartFormat>
    <chartFormat chart="12" format="37">
      <pivotArea type="data" outline="0" fieldPosition="0">
        <references count="4">
          <reference field="4294967294" count="1" selected="0">
            <x v="0"/>
          </reference>
          <reference field="0" count="1" selected="0">
            <x v="372"/>
          </reference>
          <reference field="1" count="1" selected="0">
            <x v="3"/>
          </reference>
          <reference field="5" count="1" selected="0">
            <x v="2"/>
          </reference>
        </references>
      </pivotArea>
    </chartFormat>
    <chartFormat chart="12" format="38">
      <pivotArea type="data" outline="0" fieldPosition="0">
        <references count="4">
          <reference field="4294967294" count="1" selected="0">
            <x v="0"/>
          </reference>
          <reference field="0" count="1" selected="0">
            <x v="949"/>
          </reference>
          <reference field="1" count="1" selected="0">
            <x v="3"/>
          </reference>
          <reference field="5" count="1" selected="0">
            <x v="2"/>
          </reference>
        </references>
      </pivotArea>
    </chartFormat>
    <chartFormat chart="12" format="39">
      <pivotArea type="data" outline="0" fieldPosition="0">
        <references count="4">
          <reference field="4294967294" count="1" selected="0">
            <x v="0"/>
          </reference>
          <reference field="0" count="1" selected="0">
            <x v="467"/>
          </reference>
          <reference field="1" count="1" selected="0">
            <x v="3"/>
          </reference>
          <reference field="5" count="1" selected="0">
            <x v="4"/>
          </reference>
        </references>
      </pivotArea>
    </chartFormat>
    <chartFormat chart="12" format="40">
      <pivotArea type="data" outline="0" fieldPosition="0">
        <references count="4">
          <reference field="4294967294" count="1" selected="0">
            <x v="0"/>
          </reference>
          <reference field="0" count="1" selected="0">
            <x v="912"/>
          </reference>
          <reference field="1" count="1" selected="0">
            <x v="3"/>
          </reference>
          <reference field="5" count="1" selected="0">
            <x v="2"/>
          </reference>
        </references>
      </pivotArea>
    </chartFormat>
    <chartFormat chart="12" format="41">
      <pivotArea type="data" outline="0" fieldPosition="0">
        <references count="4">
          <reference field="4294967294" count="1" selected="0">
            <x v="0"/>
          </reference>
          <reference field="0" count="1" selected="0">
            <x v="870"/>
          </reference>
          <reference field="1" count="1" selected="0">
            <x v="3"/>
          </reference>
          <reference field="5" count="1" selected="0">
            <x v="2"/>
          </reference>
        </references>
      </pivotArea>
    </chartFormat>
    <chartFormat chart="12" format="42">
      <pivotArea type="data" outline="0" fieldPosition="0">
        <references count="4">
          <reference field="4294967294" count="1" selected="0">
            <x v="0"/>
          </reference>
          <reference field="0" count="1" selected="0">
            <x v="464"/>
          </reference>
          <reference field="1" count="1" selected="0">
            <x v="3"/>
          </reference>
          <reference field="5" count="1" selected="0">
            <x v="2"/>
          </reference>
        </references>
      </pivotArea>
    </chartFormat>
    <chartFormat chart="12" format="43">
      <pivotArea type="data" outline="0" fieldPosition="0">
        <references count="4">
          <reference field="4294967294" count="1" selected="0">
            <x v="0"/>
          </reference>
          <reference field="0" count="1" selected="0">
            <x v="701"/>
          </reference>
          <reference field="1" count="1" selected="0">
            <x v="3"/>
          </reference>
          <reference field="5" count="1" selected="0">
            <x v="2"/>
          </reference>
        </references>
      </pivotArea>
    </chartFormat>
    <chartFormat chart="12" format="44">
      <pivotArea type="data" outline="0" fieldPosition="0">
        <references count="4">
          <reference field="4294967294" count="1" selected="0">
            <x v="0"/>
          </reference>
          <reference field="0" count="1" selected="0">
            <x v="965"/>
          </reference>
          <reference field="1" count="1" selected="0">
            <x v="3"/>
          </reference>
          <reference field="5" count="1" selected="0">
            <x v="4"/>
          </reference>
        </references>
      </pivotArea>
    </chartFormat>
    <chartFormat chart="12" format="45">
      <pivotArea type="data" outline="0" fieldPosition="0">
        <references count="4">
          <reference field="4294967294" count="1" selected="0">
            <x v="0"/>
          </reference>
          <reference field="0" count="1" selected="0">
            <x v="423"/>
          </reference>
          <reference field="1" count="1" selected="0">
            <x v="3"/>
          </reference>
          <reference field="5" count="1" selected="0">
            <x v="2"/>
          </reference>
        </references>
      </pivotArea>
    </chartFormat>
    <chartFormat chart="12" format="46" series="1">
      <pivotArea type="data" outline="0" fieldPosition="0">
        <references count="1">
          <reference field="4294967294" count="1" selected="0">
            <x v="0"/>
          </reference>
        </references>
      </pivotArea>
    </chartFormat>
    <chartFormat chart="12" format="47">
      <pivotArea type="data" outline="0" fieldPosition="0">
        <references count="3">
          <reference field="4294967294" count="1" selected="0">
            <x v="0"/>
          </reference>
          <reference field="0" count="1" selected="0">
            <x v="423"/>
          </reference>
          <reference field="1"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D7BCB2-C204-4992-87FF-2C194D35A2D3}" name="YoY" cacheId="0" applyNumberFormats="0" applyBorderFormats="0" applyFontFormats="0" applyPatternFormats="0" applyAlignmentFormats="0" applyWidthHeightFormats="1" dataCaption="Values" missingCaption="0" updatedVersion="8" minRefreshableVersion="3" colGrandTotals="0" itemPrintTitles="1" createdVersion="8" indent="0" multipleFieldFilters="0" chartFormat="7">
  <location ref="A71:C85" firstHeaderRow="1" firstDataRow="2" firstDataCol="1"/>
  <pivotFields count="19">
    <pivotField showAll="0"/>
    <pivotField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axis="axisRow" showAll="0">
      <items count="13">
        <item x="0"/>
        <item x="9"/>
        <item x="5"/>
        <item x="4"/>
        <item x="2"/>
        <item x="3"/>
        <item x="7"/>
        <item x="6"/>
        <item x="8"/>
        <item x="1"/>
        <item x="11"/>
        <item x="10"/>
        <item t="default"/>
      </items>
    </pivotField>
    <pivotField axis="axisCol" showAll="0">
      <items count="3">
        <item x="1"/>
        <item x="0"/>
        <item t="default"/>
      </items>
    </pivotField>
    <pivotField showAll="0">
      <items count="6">
        <item x="4"/>
        <item x="1"/>
        <item x="3"/>
        <item x="0"/>
        <item x="2"/>
        <item t="default"/>
      </items>
    </pivotField>
    <pivotField numFmtId="3" showAll="0"/>
    <pivotField numFmtId="3" showAll="0"/>
    <pivotField numFmtId="3" showAll="0"/>
    <pivotField numFmtId="3" showAll="0"/>
    <pivotField numFmtId="3" showAll="0"/>
    <pivotField dataField="1"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Fields count="1">
    <field x="4"/>
  </colFields>
  <colItems count="2">
    <i>
      <x/>
    </i>
    <i>
      <x v="1"/>
    </i>
  </colItems>
  <dataFields count="1">
    <dataField name="Average of Engagement Rate %" fld="11" subtotal="average" baseField="1" baseItem="0" numFmtId="1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FECE8E-1493-4525-8DB0-57EF87F3A6E4}" name="ContentType" cacheId="0" applyNumberFormats="0" applyBorderFormats="0" applyFontFormats="0" applyPatternFormats="0" applyAlignmentFormats="0" applyWidthHeightFormats="1" dataCaption="Values" updatedVersion="8" minRefreshableVersion="3" itemPrintTitles="1" createdVersion="8" indent="0" multipleFieldFilters="0" chartFormat="1">
  <location ref="A9:E15" firstHeaderRow="0" firstDataRow="1" firstDataCol="1"/>
  <pivotFields count="19">
    <pivotField dataField="1" showAll="0"/>
    <pivotField showAll="0">
      <items count="6">
        <item x="0"/>
        <item x="1"/>
        <item x="4"/>
        <item x="3"/>
        <item x="2"/>
        <item t="default"/>
      </items>
    </pivotField>
    <pivotField numFmtId="164"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showAll="0"/>
    <pivotField showAll="0">
      <items count="3">
        <item x="1"/>
        <item x="0"/>
        <item t="default"/>
      </items>
    </pivotField>
    <pivotField axis="axisRow" showAll="0">
      <items count="6">
        <item x="4"/>
        <item x="1"/>
        <item x="3"/>
        <item x="0"/>
        <item x="2"/>
        <item t="default"/>
      </items>
    </pivotField>
    <pivotField dataField="1" numFmtId="3" showAll="0"/>
    <pivotField numFmtId="3" showAll="0"/>
    <pivotField numFmtId="3" showAll="0"/>
    <pivotField numFmtId="3" showAll="0"/>
    <pivotField numFmtId="3" showAll="0"/>
    <pivotField dataField="1" numFmtId="165"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Fields count="1">
    <field x="-2"/>
  </colFields>
  <colItems count="4">
    <i>
      <x/>
    </i>
    <i i="1">
      <x v="1"/>
    </i>
    <i i="2">
      <x v="2"/>
    </i>
    <i i="3">
      <x v="3"/>
    </i>
  </colItems>
  <dataFields count="4">
    <dataField name="Count of Post ID" fld="0" subtotal="count" baseField="0" baseItem="0"/>
    <dataField name="Average of Impressions" fld="6" subtotal="average" baseField="1" baseItem="0" numFmtId="3"/>
    <dataField name="Average of Engagement Rate %" fld="11" subtotal="average" baseField="1" baseItem="0" numFmtId="10"/>
    <dataField name="Average of Reach Rate" fld="12"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3CEEBD-DB64-4A2F-B6B7-33AFF719039F}" name="PivotTable4"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compact="0" compactData="0" multipleFieldFilters="0" chartFormat="19">
  <location ref="N1:P1001" firstHeaderRow="0" firstDataRow="1" firstDataCol="1"/>
  <pivotFields count="19">
    <pivotField axis="axisRow" compact="0"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sortType="ascending">
      <items count="6">
        <item x="0"/>
        <item x="1"/>
        <item x="4"/>
        <item x="3"/>
        <item x="2"/>
        <item t="default"/>
      </items>
    </pivotField>
    <pivotField compact="0" numFmtId="164" outline="0" showAll="0">
      <items count="544">
        <item x="141"/>
        <item x="54"/>
        <item x="222"/>
        <item x="236"/>
        <item x="448"/>
        <item x="387"/>
        <item x="438"/>
        <item x="305"/>
        <item x="205"/>
        <item x="199"/>
        <item x="422"/>
        <item x="76"/>
        <item x="93"/>
        <item x="385"/>
        <item x="26"/>
        <item x="187"/>
        <item x="180"/>
        <item x="459"/>
        <item x="479"/>
        <item x="352"/>
        <item x="374"/>
        <item x="238"/>
        <item x="8"/>
        <item x="242"/>
        <item x="418"/>
        <item x="397"/>
        <item x="232"/>
        <item x="225"/>
        <item x="11"/>
        <item x="361"/>
        <item x="98"/>
        <item x="234"/>
        <item x="345"/>
        <item x="344"/>
        <item x="391"/>
        <item x="469"/>
        <item x="389"/>
        <item x="116"/>
        <item x="241"/>
        <item x="162"/>
        <item x="486"/>
        <item x="525"/>
        <item x="484"/>
        <item x="450"/>
        <item x="291"/>
        <item x="161"/>
        <item x="89"/>
        <item x="192"/>
        <item x="373"/>
        <item x="208"/>
        <item x="283"/>
        <item x="328"/>
        <item x="110"/>
        <item x="432"/>
        <item x="431"/>
        <item x="174"/>
        <item x="347"/>
        <item x="5"/>
        <item x="489"/>
        <item x="504"/>
        <item x="16"/>
        <item x="149"/>
        <item x="82"/>
        <item x="60"/>
        <item x="501"/>
        <item x="106"/>
        <item x="376"/>
        <item x="462"/>
        <item x="256"/>
        <item x="143"/>
        <item x="271"/>
        <item x="72"/>
        <item x="4"/>
        <item x="455"/>
        <item x="264"/>
        <item x="505"/>
        <item x="311"/>
        <item x="243"/>
        <item x="454"/>
        <item x="282"/>
        <item x="144"/>
        <item x="220"/>
        <item x="273"/>
        <item x="12"/>
        <item x="446"/>
        <item x="394"/>
        <item x="117"/>
        <item x="512"/>
        <item x="520"/>
        <item x="138"/>
        <item x="522"/>
        <item x="184"/>
        <item x="411"/>
        <item x="377"/>
        <item x="151"/>
        <item x="348"/>
        <item x="535"/>
        <item x="420"/>
        <item x="2"/>
        <item x="207"/>
        <item x="496"/>
        <item x="403"/>
        <item x="84"/>
        <item x="304"/>
        <item x="104"/>
        <item x="114"/>
        <item x="49"/>
        <item x="523"/>
        <item x="414"/>
        <item x="80"/>
        <item x="531"/>
        <item x="268"/>
        <item x="471"/>
        <item x="74"/>
        <item x="509"/>
        <item x="126"/>
        <item x="86"/>
        <item x="464"/>
        <item x="436"/>
        <item x="321"/>
        <item x="203"/>
        <item x="477"/>
        <item x="108"/>
        <item x="181"/>
        <item x="274"/>
        <item x="139"/>
        <item x="123"/>
        <item x="302"/>
        <item x="532"/>
        <item x="217"/>
        <item x="7"/>
        <item x="295"/>
        <item x="289"/>
        <item x="365"/>
        <item x="59"/>
        <item x="63"/>
        <item x="230"/>
        <item x="166"/>
        <item x="134"/>
        <item x="342"/>
        <item x="214"/>
        <item x="132"/>
        <item x="250"/>
        <item x="502"/>
        <item x="401"/>
        <item x="218"/>
        <item x="497"/>
        <item x="190"/>
        <item x="428"/>
        <item x="400"/>
        <item x="426"/>
        <item x="112"/>
        <item x="240"/>
        <item x="354"/>
        <item x="18"/>
        <item x="228"/>
        <item x="286"/>
        <item x="183"/>
        <item x="458"/>
        <item x="83"/>
        <item x="466"/>
        <item x="437"/>
        <item x="332"/>
        <item x="229"/>
        <item x="494"/>
        <item x="78"/>
        <item x="81"/>
        <item x="160"/>
        <item x="461"/>
        <item x="384"/>
        <item x="51"/>
        <item x="10"/>
        <item x="169"/>
        <item x="468"/>
        <item x="393"/>
        <item x="21"/>
        <item x="481"/>
        <item x="293"/>
        <item x="71"/>
        <item x="312"/>
        <item x="70"/>
        <item x="419"/>
        <item x="124"/>
        <item x="276"/>
        <item x="14"/>
        <item x="351"/>
        <item x="88"/>
        <item x="331"/>
        <item x="9"/>
        <item x="407"/>
        <item x="395"/>
        <item x="441"/>
        <item x="235"/>
        <item x="516"/>
        <item x="248"/>
        <item x="69"/>
        <item x="443"/>
        <item x="35"/>
        <item x="195"/>
        <item x="514"/>
        <item x="399"/>
        <item x="355"/>
        <item x="121"/>
        <item x="495"/>
        <item x="148"/>
        <item x="416"/>
        <item x="150"/>
        <item x="510"/>
        <item x="281"/>
        <item x="24"/>
        <item x="358"/>
        <item x="244"/>
        <item x="440"/>
        <item x="85"/>
        <item x="423"/>
        <item x="170"/>
        <item x="43"/>
        <item x="451"/>
        <item x="529"/>
        <item x="261"/>
        <item x="215"/>
        <item x="320"/>
        <item x="333"/>
        <item x="191"/>
        <item x="28"/>
        <item x="262"/>
        <item x="506"/>
        <item x="366"/>
        <item x="31"/>
        <item x="246"/>
        <item x="439"/>
        <item x="193"/>
        <item x="485"/>
        <item x="473"/>
        <item x="91"/>
        <item x="173"/>
        <item x="315"/>
        <item x="421"/>
        <item x="68"/>
        <item x="470"/>
        <item x="255"/>
        <item x="318"/>
        <item x="350"/>
        <item x="99"/>
        <item x="465"/>
        <item x="45"/>
        <item x="472"/>
        <item x="223"/>
        <item x="13"/>
        <item x="415"/>
        <item x="79"/>
        <item x="176"/>
        <item x="92"/>
        <item x="460"/>
        <item x="534"/>
        <item x="32"/>
        <item x="111"/>
        <item x="539"/>
        <item x="249"/>
        <item x="119"/>
        <item x="130"/>
        <item x="337"/>
        <item x="200"/>
        <item x="125"/>
        <item x="490"/>
        <item x="528"/>
        <item x="38"/>
        <item x="278"/>
        <item x="488"/>
        <item x="379"/>
        <item x="147"/>
        <item x="362"/>
        <item x="64"/>
        <item x="247"/>
        <item x="402"/>
        <item x="425"/>
        <item x="178"/>
        <item x="349"/>
        <item x="163"/>
        <item x="100"/>
        <item x="518"/>
        <item x="339"/>
        <item x="75"/>
        <item x="127"/>
        <item x="105"/>
        <item x="294"/>
        <item x="0"/>
        <item x="171"/>
        <item x="37"/>
        <item x="109"/>
        <item x="251"/>
        <item x="324"/>
        <item x="306"/>
        <item x="58"/>
        <item x="457"/>
        <item x="498"/>
        <item x="475"/>
        <item x="307"/>
        <item x="272"/>
        <item x="300"/>
        <item x="325"/>
        <item x="390"/>
        <item x="153"/>
        <item x="206"/>
        <item x="279"/>
        <item x="239"/>
        <item x="41"/>
        <item x="341"/>
        <item x="542"/>
        <item x="452"/>
        <item x="442"/>
        <item x="277"/>
        <item x="380"/>
        <item x="157"/>
        <item x="334"/>
        <item x="378"/>
        <item x="435"/>
        <item x="50"/>
        <item x="359"/>
        <item x="360"/>
        <item x="257"/>
        <item x="118"/>
        <item x="319"/>
        <item x="340"/>
        <item x="517"/>
        <item x="36"/>
        <item x="540"/>
        <item x="77"/>
        <item x="375"/>
        <item x="405"/>
        <item x="292"/>
        <item x="269"/>
        <item x="524"/>
        <item x="254"/>
        <item x="323"/>
        <item x="73"/>
        <item x="356"/>
        <item x="226"/>
        <item x="258"/>
        <item x="67"/>
        <item x="129"/>
        <item x="102"/>
        <item x="314"/>
        <item x="33"/>
        <item x="371"/>
        <item x="252"/>
        <item x="65"/>
        <item x="519"/>
        <item x="363"/>
        <item x="231"/>
        <item x="94"/>
        <item x="20"/>
        <item x="297"/>
        <item x="372"/>
        <item x="499"/>
        <item x="456"/>
        <item x="155"/>
        <item x="491"/>
        <item x="136"/>
        <item x="308"/>
        <item x="424"/>
        <item x="406"/>
        <item x="145"/>
        <item x="270"/>
        <item x="346"/>
        <item x="165"/>
        <item x="500"/>
        <item x="526"/>
        <item x="202"/>
        <item x="219"/>
        <item x="364"/>
        <item x="410"/>
        <item x="327"/>
        <item x="34"/>
        <item x="209"/>
        <item x="61"/>
        <item x="164"/>
        <item x="52"/>
        <item x="511"/>
        <item x="87"/>
        <item x="322"/>
        <item x="103"/>
        <item x="357"/>
        <item x="408"/>
        <item x="280"/>
        <item x="159"/>
        <item x="299"/>
        <item x="185"/>
        <item x="122"/>
        <item x="392"/>
        <item x="370"/>
        <item x="197"/>
        <item x="57"/>
        <item x="303"/>
        <item x="309"/>
        <item x="483"/>
        <item x="536"/>
        <item x="115"/>
        <item x="538"/>
        <item x="329"/>
        <item x="3"/>
        <item x="398"/>
        <item x="175"/>
        <item x="95"/>
        <item x="30"/>
        <item x="66"/>
        <item x="172"/>
        <item x="381"/>
        <item x="90"/>
        <item x="336"/>
        <item x="154"/>
        <item x="507"/>
        <item x="445"/>
        <item x="288"/>
        <item x="42"/>
        <item x="412"/>
        <item x="530"/>
        <item x="467"/>
        <item x="27"/>
        <item x="128"/>
        <item x="97"/>
        <item x="19"/>
        <item x="515"/>
        <item x="221"/>
        <item x="201"/>
        <item x="177"/>
        <item x="48"/>
        <item x="430"/>
        <item x="487"/>
        <item x="396"/>
        <item x="492"/>
        <item x="131"/>
        <item x="447"/>
        <item x="338"/>
        <item x="189"/>
        <item x="409"/>
        <item x="211"/>
        <item x="265"/>
        <item x="113"/>
        <item x="383"/>
        <item x="142"/>
        <item x="6"/>
        <item x="137"/>
        <item x="179"/>
        <item x="133"/>
        <item x="527"/>
        <item x="107"/>
        <item x="480"/>
        <item x="541"/>
        <item x="25"/>
        <item x="427"/>
        <item x="474"/>
        <item x="367"/>
        <item x="382"/>
        <item x="343"/>
        <item x="253"/>
        <item x="537"/>
        <item x="46"/>
        <item x="17"/>
        <item x="101"/>
        <item x="135"/>
        <item x="434"/>
        <item x="335"/>
        <item x="53"/>
        <item x="482"/>
        <item x="29"/>
        <item x="369"/>
        <item x="478"/>
        <item x="194"/>
        <item x="213"/>
        <item x="210"/>
        <item x="290"/>
        <item x="284"/>
        <item x="388"/>
        <item x="167"/>
        <item x="198"/>
        <item x="259"/>
        <item x="47"/>
        <item x="233"/>
        <item x="186"/>
        <item x="275"/>
        <item x="316"/>
        <item x="224"/>
        <item x="463"/>
        <item x="533"/>
        <item x="285"/>
        <item x="266"/>
        <item x="317"/>
        <item x="267"/>
        <item x="503"/>
        <item x="245"/>
        <item x="56"/>
        <item x="386"/>
        <item x="1"/>
        <item x="152"/>
        <item x="62"/>
        <item x="212"/>
        <item x="40"/>
        <item x="156"/>
        <item x="444"/>
        <item x="22"/>
        <item x="168"/>
        <item x="429"/>
        <item x="326"/>
        <item x="44"/>
        <item x="263"/>
        <item x="521"/>
        <item x="23"/>
        <item x="313"/>
        <item x="310"/>
        <item x="508"/>
        <item x="476"/>
        <item x="260"/>
        <item x="417"/>
        <item x="513"/>
        <item x="298"/>
        <item x="287"/>
        <item x="227"/>
        <item x="158"/>
        <item x="301"/>
        <item x="39"/>
        <item x="453"/>
        <item x="353"/>
        <item x="140"/>
        <item x="404"/>
        <item x="204"/>
        <item x="216"/>
        <item x="146"/>
        <item x="96"/>
        <item x="196"/>
        <item x="120"/>
        <item x="413"/>
        <item x="55"/>
        <item x="182"/>
        <item x="330"/>
        <item x="433"/>
        <item x="493"/>
        <item x="296"/>
        <item x="15"/>
        <item x="188"/>
        <item x="449"/>
        <item x="237"/>
        <item x="368"/>
        <item t="default"/>
      </items>
    </pivotField>
    <pivotField compact="0" outline="0" showAll="0"/>
    <pivotField compact="0" outline="0" showAll="0">
      <items count="3">
        <item x="1"/>
        <item x="0"/>
        <item t="default"/>
      </items>
    </pivotField>
    <pivotField compact="0" outline="0" showAll="0">
      <items count="6">
        <item x="4"/>
        <item x="1"/>
        <item x="3"/>
        <item x="0"/>
        <item x="2"/>
        <item t="default"/>
      </items>
    </pivotField>
    <pivotField compact="0" numFmtId="3" outline="0" showAll="0"/>
    <pivotField compact="0" numFmtId="3" outline="0" showAll="0"/>
    <pivotField compact="0" numFmtId="3" outline="0" showAll="0"/>
    <pivotField compact="0" numFmtId="3" outline="0" showAll="0"/>
    <pivotField dataField="1" compact="0" numFmtId="3" outline="0" showAll="0"/>
    <pivotField dataField="1" compact="0" numFmtId="165"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rowItems>
  <colFields count="1">
    <field x="-2"/>
  </colFields>
  <colItems count="2">
    <i>
      <x/>
    </i>
    <i i="1">
      <x v="1"/>
    </i>
  </colItems>
  <dataFields count="2">
    <dataField name="Sum of Shares" fld="10" baseField="0" baseItem="0" numFmtId="3"/>
    <dataField name="Average of Engagement Rate %" fld="11" subtotal="average" baseField="0" baseItem="0" numFmtId="10"/>
  </dataFields>
  <formats count="1">
    <format dxfId="3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9841834-BD83-4DC6-A3E0-2F2E70414D7F}" sourceName="Platform">
  <pivotTables>
    <pivotTable tabId="5" name="ContentType"/>
    <pivotTable tabId="5" name="KPI"/>
    <pivotTable tabId="5" name="MonthlyTrend"/>
    <pivotTable tabId="5" name="YoY"/>
    <pivotTable tabId="5" name="PivotTable4"/>
    <pivotTable tabId="5" name="PivotTable5"/>
    <pivotTable tabId="5" name="BestContentType"/>
    <pivotTable tabId="5" name="BestPlatform"/>
  </pivotTables>
  <data>
    <tabular pivotCacheId="882646416">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604652-5A83-4B9F-8E7A-158978DABA34}" sourceName="Year">
  <pivotTables>
    <pivotTable tabId="5" name="Platform"/>
    <pivotTable tabId="5" name="ContentType"/>
    <pivotTable tabId="5" name="EngagementType"/>
    <pivotTable tabId="5" name="PlatformContent"/>
    <pivotTable tabId="5" name="KPI"/>
    <pivotTable tabId="5" name="MonthlyTrend"/>
    <pivotTable tabId="5" name="YoY"/>
    <pivotTable tabId="5" name="PivotTable4"/>
    <pivotTable tabId="5" name="PivotTable5"/>
    <pivotTable tabId="5" name="BestContentType"/>
    <pivotTable tabId="5" name="BestPlatform"/>
  </pivotTables>
  <data>
    <tabular pivotCacheId="8826464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8E409D2C-CD96-4A60-B261-F817C56ADD02}" sourceName="Content Type">
  <pivotTables>
    <pivotTable tabId="5" name="Platform"/>
    <pivotTable tabId="5" name="EngagementType"/>
    <pivotTable tabId="5" name="KPI"/>
    <pivotTable tabId="5" name="MonthlyTrend"/>
    <pivotTable tabId="5" name="YoY"/>
    <pivotTable tabId="5" name="PivotTable4"/>
    <pivotTable tabId="5" name="PivotTable5"/>
    <pivotTable tabId="5" name="BestContentType"/>
    <pivotTable tabId="5" name="BestPlatform"/>
  </pivotTables>
  <data>
    <tabular pivotCacheId="882646416">
      <items count="5">
        <i x="4" s="1"/>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19A648B-6E50-4770-B49F-2012D64F94A7}" cache="Slicer_Platform" caption="Platform" style="Dashboard" rowHeight="257175"/>
  <slicer name="Year" xr10:uid="{F37F9BB5-6B7E-4791-94F0-6A7A7679BF73}" cache="Slicer_Year" caption="Year" style="Dashboard" rowHeight="257175"/>
  <slicer name="Content" xr10:uid="{807C6FB5-A4BB-42D5-9A35-926FBD2AA5D4}" cache="Slicer_Content_Type" caption="Content" style="Dashboar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DE9DD8ED-84CB-44E4-9019-16E48AC80C65}" cache="Slicer_Platform" caption="Platform" style="Dashboard" rowHeight="257175"/>
  <slicer name="Year 1" xr10:uid="{65D17F7A-19A9-4CCC-B40F-43F53F2FE783}" cache="Slicer_Year" caption="Year" style="Dashboard" rowHeight="257175"/>
  <slicer name="Content 1" xr10:uid="{5DA31CFB-BA5D-4537-9404-D3415222D2CB}" cache="Slicer_Content_Type" caption="Content" style="Dashboar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5A636F8B-6586-463E-BCCE-6BE28FC9C347}" cache="Slicer_Platform" caption="Platform" style="Dashboard" rowHeight="257175"/>
  <slicer name="Year 2" xr10:uid="{CA803355-66C3-46DD-B13B-AC22265E8422}" cache="Slicer_Year" caption="Year" style="Dashboard" rowHeight="257175"/>
  <slicer name="Content 2" xr10:uid="{6537944A-8CFA-417E-94D1-8B4E34D7D910}" cache="Slicer_Content_Type" caption="Content" style="Dashboar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BB64-7188-4BDB-85FE-40565B564944}">
  <sheetPr codeName="Sheet14"/>
  <dimension ref="A1:O1001"/>
  <sheetViews>
    <sheetView workbookViewId="0">
      <pane ySplit="1" topLeftCell="A2" activePane="bottomLeft" state="frozen"/>
      <selection pane="bottomLeft" activeCell="A2" sqref="A2"/>
    </sheetView>
  </sheetViews>
  <sheetFormatPr defaultRowHeight="15" x14ac:dyDescent="0.25"/>
  <cols>
    <col min="1" max="1" width="12" bestFit="1" customWidth="1"/>
    <col min="2" max="2" width="13.28515625" bestFit="1" customWidth="1"/>
    <col min="3" max="3" width="14.28515625" bestFit="1" customWidth="1"/>
    <col min="4" max="4" width="11.28515625" bestFit="1" customWidth="1"/>
    <col min="5" max="5" width="9.5703125" bestFit="1" customWidth="1"/>
    <col min="6" max="6" width="17.85546875" bestFit="1" customWidth="1"/>
    <col min="7" max="7" width="16.7109375" bestFit="1" customWidth="1"/>
    <col min="8" max="8" width="11.140625" bestFit="1" customWidth="1"/>
    <col min="9" max="9" width="10.28515625" bestFit="1" customWidth="1"/>
    <col min="10" max="10" width="15.5703125" bestFit="1" customWidth="1"/>
    <col min="11" max="11" width="11.7109375" bestFit="1" customWidth="1"/>
    <col min="12" max="12" width="23.5703125" bestFit="1" customWidth="1"/>
  </cols>
  <sheetData>
    <row r="1" spans="1:14" x14ac:dyDescent="0.25">
      <c r="A1" s="1" t="s">
        <v>0</v>
      </c>
      <c r="B1" s="1" t="s">
        <v>1</v>
      </c>
      <c r="C1" s="1" t="s">
        <v>2</v>
      </c>
      <c r="D1" s="1" t="s">
        <v>1057</v>
      </c>
      <c r="E1" s="1" t="s">
        <v>1047</v>
      </c>
      <c r="F1" s="1" t="s">
        <v>3</v>
      </c>
      <c r="G1" s="1" t="s">
        <v>4</v>
      </c>
      <c r="H1" s="1" t="s">
        <v>5</v>
      </c>
      <c r="I1" s="1" t="s">
        <v>6</v>
      </c>
      <c r="J1" s="1" t="s">
        <v>7</v>
      </c>
      <c r="K1" s="1" t="s">
        <v>8</v>
      </c>
      <c r="L1" s="1" t="s">
        <v>9</v>
      </c>
    </row>
    <row r="2" spans="1:14" x14ac:dyDescent="0.25">
      <c r="A2" t="s">
        <v>10</v>
      </c>
      <c r="B2" t="s">
        <v>11</v>
      </c>
      <c r="C2" s="10">
        <v>45685</v>
      </c>
      <c r="D2" s="18" t="str">
        <f>TEXT($C2,"MMMM")</f>
        <v>January</v>
      </c>
      <c r="E2" s="11" t="str">
        <f>TEXT(C2,"yyyy")</f>
        <v>2025</v>
      </c>
      <c r="F2" t="s">
        <v>12</v>
      </c>
      <c r="G2" s="2">
        <v>24500</v>
      </c>
      <c r="H2" s="2">
        <v>7733</v>
      </c>
      <c r="I2" s="2">
        <v>383</v>
      </c>
      <c r="J2" s="2">
        <v>68</v>
      </c>
      <c r="K2" s="2">
        <v>188</v>
      </c>
      <c r="L2" s="5">
        <f>SUM(I2:K2)/H2</f>
        <v>8.2632872106556315E-2</v>
      </c>
      <c r="M2" s="2"/>
      <c r="N2" s="2"/>
    </row>
    <row r="3" spans="1:14" x14ac:dyDescent="0.25">
      <c r="A3" t="s">
        <v>13</v>
      </c>
      <c r="B3" t="s">
        <v>14</v>
      </c>
      <c r="C3" s="10">
        <v>45959</v>
      </c>
      <c r="D3" s="18" t="str">
        <f t="shared" ref="D3:D66" si="0">TEXT($C3,"MMMM")</f>
        <v>October</v>
      </c>
      <c r="E3" s="11" t="str">
        <f t="shared" ref="E3:E66" si="1">TEXT(C3,"yyyy")</f>
        <v>2025</v>
      </c>
      <c r="F3" t="s">
        <v>15</v>
      </c>
      <c r="G3" s="2">
        <v>23105</v>
      </c>
      <c r="H3" s="2">
        <v>11753</v>
      </c>
      <c r="I3" s="2">
        <v>298</v>
      </c>
      <c r="J3" s="2">
        <v>61</v>
      </c>
      <c r="K3" s="2">
        <v>69</v>
      </c>
      <c r="L3" s="5">
        <f t="shared" ref="L3:L66" si="2">SUM(I3:K3)/H3</f>
        <v>3.6416234152982216E-2</v>
      </c>
    </row>
    <row r="4" spans="1:14" x14ac:dyDescent="0.25">
      <c r="A4" t="s">
        <v>16</v>
      </c>
      <c r="B4" t="s">
        <v>17</v>
      </c>
      <c r="C4" s="10">
        <v>45433</v>
      </c>
      <c r="D4" s="18" t="str">
        <f t="shared" si="0"/>
        <v>May</v>
      </c>
      <c r="E4" s="11" t="str">
        <f t="shared" si="1"/>
        <v>2024</v>
      </c>
      <c r="F4" t="s">
        <v>18</v>
      </c>
      <c r="G4" s="2">
        <v>24700</v>
      </c>
      <c r="H4" s="2">
        <v>14185</v>
      </c>
      <c r="I4" s="2">
        <v>168</v>
      </c>
      <c r="J4" s="2">
        <v>54</v>
      </c>
      <c r="K4" s="2">
        <v>238</v>
      </c>
      <c r="L4" s="5">
        <f t="shared" si="2"/>
        <v>3.2428621783574196E-2</v>
      </c>
    </row>
    <row r="5" spans="1:14" x14ac:dyDescent="0.25">
      <c r="A5" t="s">
        <v>19</v>
      </c>
      <c r="B5" t="s">
        <v>20</v>
      </c>
      <c r="C5" s="10">
        <v>45835</v>
      </c>
      <c r="D5" s="18" t="str">
        <f t="shared" si="0"/>
        <v>June</v>
      </c>
      <c r="E5" s="11" t="str">
        <f t="shared" si="1"/>
        <v>2025</v>
      </c>
      <c r="F5" t="s">
        <v>18</v>
      </c>
      <c r="G5" s="2">
        <v>400879</v>
      </c>
      <c r="H5" s="2">
        <v>188271</v>
      </c>
      <c r="I5" s="2">
        <v>5974</v>
      </c>
      <c r="J5" s="2">
        <v>2084</v>
      </c>
      <c r="K5" s="2">
        <v>6006</v>
      </c>
      <c r="L5" s="5">
        <f t="shared" si="2"/>
        <v>7.4700830186274048E-2</v>
      </c>
    </row>
    <row r="6" spans="1:14" x14ac:dyDescent="0.25">
      <c r="A6" t="s">
        <v>21</v>
      </c>
      <c r="B6" t="s">
        <v>14</v>
      </c>
      <c r="C6" s="10">
        <v>45397</v>
      </c>
      <c r="D6" s="18" t="str">
        <f t="shared" si="0"/>
        <v>April</v>
      </c>
      <c r="E6" s="11" t="str">
        <f t="shared" si="1"/>
        <v>2024</v>
      </c>
      <c r="F6" t="s">
        <v>18</v>
      </c>
      <c r="G6" s="2">
        <v>13259</v>
      </c>
      <c r="H6" s="2">
        <v>5637</v>
      </c>
      <c r="I6" s="2">
        <v>352</v>
      </c>
      <c r="J6" s="2">
        <v>61</v>
      </c>
      <c r="K6" s="2">
        <v>8</v>
      </c>
      <c r="L6" s="5">
        <f t="shared" si="2"/>
        <v>7.468511619655846E-2</v>
      </c>
    </row>
    <row r="7" spans="1:14" x14ac:dyDescent="0.25">
      <c r="A7" t="s">
        <v>22</v>
      </c>
      <c r="B7" t="s">
        <v>14</v>
      </c>
      <c r="C7" s="10">
        <v>45372</v>
      </c>
      <c r="D7" s="18" t="str">
        <f t="shared" si="0"/>
        <v>March</v>
      </c>
      <c r="E7" s="11" t="str">
        <f t="shared" si="1"/>
        <v>2024</v>
      </c>
      <c r="F7" t="s">
        <v>15</v>
      </c>
      <c r="G7" s="2">
        <v>6469</v>
      </c>
      <c r="H7" s="2">
        <v>3790</v>
      </c>
      <c r="I7" s="2">
        <v>205</v>
      </c>
      <c r="J7" s="2">
        <v>10</v>
      </c>
      <c r="K7" s="2">
        <v>13</v>
      </c>
      <c r="L7" s="5">
        <f t="shared" si="2"/>
        <v>6.0158311345646441E-2</v>
      </c>
    </row>
    <row r="8" spans="1:14" x14ac:dyDescent="0.25">
      <c r="A8" t="s">
        <v>23</v>
      </c>
      <c r="B8" t="s">
        <v>14</v>
      </c>
      <c r="C8" s="10">
        <v>45895</v>
      </c>
      <c r="D8" s="18" t="str">
        <f t="shared" si="0"/>
        <v>August</v>
      </c>
      <c r="E8" s="11" t="str">
        <f t="shared" si="1"/>
        <v>2025</v>
      </c>
      <c r="F8" t="s">
        <v>24</v>
      </c>
      <c r="G8" s="2">
        <v>35618</v>
      </c>
      <c r="H8" s="2">
        <v>19926</v>
      </c>
      <c r="I8" s="2">
        <v>667</v>
      </c>
      <c r="J8" s="2">
        <v>236</v>
      </c>
      <c r="K8" s="2">
        <v>182</v>
      </c>
      <c r="L8" s="5">
        <f t="shared" si="2"/>
        <v>5.4451470440630333E-2</v>
      </c>
    </row>
    <row r="9" spans="1:14" x14ac:dyDescent="0.25">
      <c r="A9" t="s">
        <v>25</v>
      </c>
      <c r="B9" t="s">
        <v>26</v>
      </c>
      <c r="C9" s="10">
        <v>45477</v>
      </c>
      <c r="D9" s="18" t="str">
        <f t="shared" si="0"/>
        <v>July</v>
      </c>
      <c r="E9" s="11" t="str">
        <f t="shared" si="1"/>
        <v>2024</v>
      </c>
      <c r="F9" t="s">
        <v>12</v>
      </c>
      <c r="G9" s="2">
        <v>9468</v>
      </c>
      <c r="H9" s="2">
        <v>4910</v>
      </c>
      <c r="I9" s="2">
        <v>173</v>
      </c>
      <c r="J9" s="2">
        <v>67</v>
      </c>
      <c r="K9" s="2">
        <v>20</v>
      </c>
      <c r="L9" s="5">
        <f t="shared" si="2"/>
        <v>5.2953156822810592E-2</v>
      </c>
    </row>
    <row r="10" spans="1:14" x14ac:dyDescent="0.25">
      <c r="A10" t="s">
        <v>27</v>
      </c>
      <c r="B10" t="s">
        <v>14</v>
      </c>
      <c r="C10" s="10">
        <v>45320</v>
      </c>
      <c r="D10" s="18" t="str">
        <f t="shared" si="0"/>
        <v>January</v>
      </c>
      <c r="E10" s="11" t="str">
        <f t="shared" si="1"/>
        <v>2024</v>
      </c>
      <c r="F10" t="s">
        <v>24</v>
      </c>
      <c r="G10" s="2">
        <v>99396</v>
      </c>
      <c r="H10" s="2">
        <v>75092</v>
      </c>
      <c r="I10" s="2">
        <v>5314</v>
      </c>
      <c r="J10" s="2">
        <v>887</v>
      </c>
      <c r="K10" s="2">
        <v>706</v>
      </c>
      <c r="L10" s="5">
        <f t="shared" si="2"/>
        <v>9.1980503915197354E-2</v>
      </c>
    </row>
    <row r="11" spans="1:14" x14ac:dyDescent="0.25">
      <c r="A11" t="s">
        <v>28</v>
      </c>
      <c r="B11" t="s">
        <v>20</v>
      </c>
      <c r="C11" s="10">
        <v>45550</v>
      </c>
      <c r="D11" s="18" t="str">
        <f t="shared" si="0"/>
        <v>September</v>
      </c>
      <c r="E11" s="11" t="str">
        <f t="shared" si="1"/>
        <v>2024</v>
      </c>
      <c r="F11" t="s">
        <v>24</v>
      </c>
      <c r="G11" s="2">
        <v>27570</v>
      </c>
      <c r="H11" s="2">
        <v>16102</v>
      </c>
      <c r="I11" s="2">
        <v>1791</v>
      </c>
      <c r="J11" s="2">
        <v>337</v>
      </c>
      <c r="K11" s="2">
        <v>297</v>
      </c>
      <c r="L11" s="5">
        <f t="shared" si="2"/>
        <v>0.15060240963855423</v>
      </c>
    </row>
    <row r="12" spans="1:14" x14ac:dyDescent="0.25">
      <c r="A12" t="s">
        <v>29</v>
      </c>
      <c r="B12" t="s">
        <v>11</v>
      </c>
      <c r="C12" s="10">
        <v>45530</v>
      </c>
      <c r="D12" s="18" t="str">
        <f t="shared" si="0"/>
        <v>August</v>
      </c>
      <c r="E12" s="11" t="str">
        <f t="shared" si="1"/>
        <v>2024</v>
      </c>
      <c r="F12" t="s">
        <v>18</v>
      </c>
      <c r="G12" s="2">
        <v>49204</v>
      </c>
      <c r="H12" s="2">
        <v>23651</v>
      </c>
      <c r="I12" s="2">
        <v>804</v>
      </c>
      <c r="J12" s="2">
        <v>381</v>
      </c>
      <c r="K12" s="2">
        <v>677</v>
      </c>
      <c r="L12" s="5">
        <f t="shared" si="2"/>
        <v>7.8728172170309918E-2</v>
      </c>
    </row>
    <row r="13" spans="1:14" x14ac:dyDescent="0.25">
      <c r="A13" t="s">
        <v>30</v>
      </c>
      <c r="B13" t="s">
        <v>20</v>
      </c>
      <c r="C13" s="10">
        <v>45330</v>
      </c>
      <c r="D13" s="18" t="str">
        <f t="shared" si="0"/>
        <v>February</v>
      </c>
      <c r="E13" s="11" t="str">
        <f t="shared" si="1"/>
        <v>2024</v>
      </c>
      <c r="F13" t="s">
        <v>18</v>
      </c>
      <c r="G13" s="2">
        <v>491623</v>
      </c>
      <c r="H13" s="2">
        <v>208356</v>
      </c>
      <c r="I13" s="2">
        <v>20614</v>
      </c>
      <c r="J13" s="2">
        <v>3190</v>
      </c>
      <c r="K13" s="2">
        <v>7463</v>
      </c>
      <c r="L13" s="5">
        <f t="shared" si="2"/>
        <v>0.15006527289830868</v>
      </c>
    </row>
    <row r="14" spans="1:14" x14ac:dyDescent="0.25">
      <c r="A14" t="s">
        <v>31</v>
      </c>
      <c r="B14" t="s">
        <v>14</v>
      </c>
      <c r="C14" s="10">
        <v>45411</v>
      </c>
      <c r="D14" s="18" t="str">
        <f t="shared" si="0"/>
        <v>April</v>
      </c>
      <c r="E14" s="11" t="str">
        <f t="shared" si="1"/>
        <v>2024</v>
      </c>
      <c r="F14" t="s">
        <v>32</v>
      </c>
      <c r="G14" s="2">
        <v>64155</v>
      </c>
      <c r="H14" s="2">
        <v>29632</v>
      </c>
      <c r="I14" s="2">
        <v>1109</v>
      </c>
      <c r="J14" s="2">
        <v>285</v>
      </c>
      <c r="K14" s="2">
        <v>145</v>
      </c>
      <c r="L14" s="5">
        <f t="shared" si="2"/>
        <v>5.1937095032397407E-2</v>
      </c>
    </row>
    <row r="15" spans="1:14" x14ac:dyDescent="0.25">
      <c r="A15" t="s">
        <v>33</v>
      </c>
      <c r="B15" t="s">
        <v>14</v>
      </c>
      <c r="C15" s="10">
        <v>45633</v>
      </c>
      <c r="D15" s="18" t="str">
        <f t="shared" si="0"/>
        <v>December</v>
      </c>
      <c r="E15" s="11" t="str">
        <f t="shared" si="1"/>
        <v>2024</v>
      </c>
      <c r="F15" t="s">
        <v>32</v>
      </c>
      <c r="G15" s="2">
        <v>28492</v>
      </c>
      <c r="H15" s="2">
        <v>15059</v>
      </c>
      <c r="I15" s="2">
        <v>332</v>
      </c>
      <c r="J15" s="2">
        <v>141</v>
      </c>
      <c r="K15" s="2">
        <v>89</v>
      </c>
      <c r="L15" s="5">
        <f t="shared" si="2"/>
        <v>3.7319875157712998E-2</v>
      </c>
    </row>
    <row r="16" spans="1:14" x14ac:dyDescent="0.25">
      <c r="A16" t="s">
        <v>34</v>
      </c>
      <c r="B16" t="s">
        <v>14</v>
      </c>
      <c r="C16" s="10">
        <v>45546</v>
      </c>
      <c r="D16" s="18" t="str">
        <f t="shared" si="0"/>
        <v>September</v>
      </c>
      <c r="E16" s="11" t="str">
        <f t="shared" si="1"/>
        <v>2024</v>
      </c>
      <c r="F16" t="s">
        <v>18</v>
      </c>
      <c r="G16" s="2">
        <v>10536</v>
      </c>
      <c r="H16" s="2">
        <v>6800</v>
      </c>
      <c r="I16" s="2">
        <v>151</v>
      </c>
      <c r="J16" s="2">
        <v>35</v>
      </c>
      <c r="K16" s="2">
        <v>32</v>
      </c>
      <c r="L16" s="5">
        <f t="shared" si="2"/>
        <v>3.2058823529411765E-2</v>
      </c>
    </row>
    <row r="17" spans="1:12" x14ac:dyDescent="0.25">
      <c r="A17" t="s">
        <v>35</v>
      </c>
      <c r="B17" t="s">
        <v>26</v>
      </c>
      <c r="C17" s="10">
        <v>46013</v>
      </c>
      <c r="D17" s="18" t="str">
        <f t="shared" si="0"/>
        <v>December</v>
      </c>
      <c r="E17" s="11" t="str">
        <f t="shared" si="1"/>
        <v>2025</v>
      </c>
      <c r="F17" t="s">
        <v>12</v>
      </c>
      <c r="G17" s="2">
        <v>18688</v>
      </c>
      <c r="H17" s="2">
        <v>11271</v>
      </c>
      <c r="I17" s="2">
        <v>652</v>
      </c>
      <c r="J17" s="2">
        <v>106</v>
      </c>
      <c r="K17" s="2">
        <v>143</v>
      </c>
      <c r="L17" s="5">
        <f t="shared" si="2"/>
        <v>7.9939668174962286E-2</v>
      </c>
    </row>
    <row r="18" spans="1:12" x14ac:dyDescent="0.25">
      <c r="A18" t="s">
        <v>36</v>
      </c>
      <c r="B18" t="s">
        <v>11</v>
      </c>
      <c r="C18" s="10">
        <v>45376</v>
      </c>
      <c r="D18" s="18" t="str">
        <f t="shared" si="0"/>
        <v>March</v>
      </c>
      <c r="E18" s="11" t="str">
        <f t="shared" si="1"/>
        <v>2024</v>
      </c>
      <c r="F18" t="s">
        <v>32</v>
      </c>
      <c r="G18" s="2">
        <v>21204</v>
      </c>
      <c r="H18" s="2">
        <v>13712</v>
      </c>
      <c r="I18" s="2">
        <v>177</v>
      </c>
      <c r="J18" s="2">
        <v>179</v>
      </c>
      <c r="K18" s="2">
        <v>269</v>
      </c>
      <c r="L18" s="5">
        <f t="shared" si="2"/>
        <v>4.5580513418903151E-2</v>
      </c>
    </row>
    <row r="19" spans="1:12" x14ac:dyDescent="0.25">
      <c r="A19" t="s">
        <v>37</v>
      </c>
      <c r="B19" t="s">
        <v>14</v>
      </c>
      <c r="C19" s="10">
        <v>45918</v>
      </c>
      <c r="D19" s="18" t="str">
        <f t="shared" si="0"/>
        <v>September</v>
      </c>
      <c r="E19" s="11" t="str">
        <f t="shared" si="1"/>
        <v>2025</v>
      </c>
      <c r="F19" t="s">
        <v>15</v>
      </c>
      <c r="G19" s="2">
        <v>28864</v>
      </c>
      <c r="H19" s="2">
        <v>14737</v>
      </c>
      <c r="I19" s="2">
        <v>703</v>
      </c>
      <c r="J19" s="2">
        <v>146</v>
      </c>
      <c r="K19" s="2">
        <v>68</v>
      </c>
      <c r="L19" s="5">
        <f t="shared" si="2"/>
        <v>6.222433331071453E-2</v>
      </c>
    </row>
    <row r="20" spans="1:12" x14ac:dyDescent="0.25">
      <c r="A20" t="s">
        <v>38</v>
      </c>
      <c r="B20" t="s">
        <v>14</v>
      </c>
      <c r="C20" s="10">
        <v>45511</v>
      </c>
      <c r="D20" s="18" t="str">
        <f t="shared" si="0"/>
        <v>August</v>
      </c>
      <c r="E20" s="11" t="str">
        <f t="shared" si="1"/>
        <v>2024</v>
      </c>
      <c r="F20" t="s">
        <v>15</v>
      </c>
      <c r="G20" s="2">
        <v>46840</v>
      </c>
      <c r="H20" s="2">
        <v>31199</v>
      </c>
      <c r="I20" s="2">
        <v>1992</v>
      </c>
      <c r="J20" s="2">
        <v>297</v>
      </c>
      <c r="K20" s="2">
        <v>285</v>
      </c>
      <c r="L20" s="5">
        <f t="shared" si="2"/>
        <v>8.2502644315522927E-2</v>
      </c>
    </row>
    <row r="21" spans="1:12" x14ac:dyDescent="0.25">
      <c r="A21" t="s">
        <v>39</v>
      </c>
      <c r="B21" t="s">
        <v>11</v>
      </c>
      <c r="C21" s="10">
        <v>45861</v>
      </c>
      <c r="D21" s="18" t="str">
        <f t="shared" si="0"/>
        <v>July</v>
      </c>
      <c r="E21" s="11" t="str">
        <f t="shared" si="1"/>
        <v>2025</v>
      </c>
      <c r="F21" t="s">
        <v>12</v>
      </c>
      <c r="G21" s="2">
        <v>1778</v>
      </c>
      <c r="H21" s="2">
        <v>615</v>
      </c>
      <c r="I21" s="2">
        <v>27</v>
      </c>
      <c r="J21" s="2">
        <v>6</v>
      </c>
      <c r="K21" s="2">
        <v>9</v>
      </c>
      <c r="L21" s="5">
        <f t="shared" si="2"/>
        <v>6.8292682926829273E-2</v>
      </c>
    </row>
    <row r="22" spans="1:12" x14ac:dyDescent="0.25">
      <c r="A22" t="s">
        <v>40</v>
      </c>
      <c r="B22" t="s">
        <v>20</v>
      </c>
      <c r="C22" s="10">
        <v>45770</v>
      </c>
      <c r="D22" s="18" t="str">
        <f t="shared" si="0"/>
        <v>April</v>
      </c>
      <c r="E22" s="11" t="str">
        <f t="shared" si="1"/>
        <v>2025</v>
      </c>
      <c r="F22" t="s">
        <v>24</v>
      </c>
      <c r="G22" s="2">
        <v>156565</v>
      </c>
      <c r="H22" s="2">
        <v>91504</v>
      </c>
      <c r="I22" s="2">
        <v>7976</v>
      </c>
      <c r="J22" s="2">
        <v>1007</v>
      </c>
      <c r="K22" s="2">
        <v>2374</v>
      </c>
      <c r="L22" s="5">
        <f t="shared" si="2"/>
        <v>0.12411479279594334</v>
      </c>
    </row>
    <row r="23" spans="1:12" x14ac:dyDescent="0.25">
      <c r="A23" t="s">
        <v>41</v>
      </c>
      <c r="B23" t="s">
        <v>11</v>
      </c>
      <c r="C23" s="10">
        <v>45534</v>
      </c>
      <c r="D23" s="18" t="str">
        <f t="shared" si="0"/>
        <v>August</v>
      </c>
      <c r="E23" s="11" t="str">
        <f t="shared" si="1"/>
        <v>2024</v>
      </c>
      <c r="F23" t="s">
        <v>32</v>
      </c>
      <c r="G23" s="2">
        <v>24262</v>
      </c>
      <c r="H23" s="2">
        <v>14375</v>
      </c>
      <c r="I23" s="2">
        <v>505</v>
      </c>
      <c r="J23" s="2">
        <v>155</v>
      </c>
      <c r="K23" s="2">
        <v>275</v>
      </c>
      <c r="L23" s="5">
        <f t="shared" si="2"/>
        <v>6.5043478260869564E-2</v>
      </c>
    </row>
    <row r="24" spans="1:12" x14ac:dyDescent="0.25">
      <c r="A24" t="s">
        <v>42</v>
      </c>
      <c r="B24" t="s">
        <v>26</v>
      </c>
      <c r="C24" s="10">
        <v>45968</v>
      </c>
      <c r="D24" s="18" t="str">
        <f t="shared" si="0"/>
        <v>November</v>
      </c>
      <c r="E24" s="11" t="str">
        <f t="shared" si="1"/>
        <v>2025</v>
      </c>
      <c r="F24" t="s">
        <v>12</v>
      </c>
      <c r="G24" s="2">
        <v>6057</v>
      </c>
      <c r="H24" s="2">
        <v>4215</v>
      </c>
      <c r="I24" s="2">
        <v>74</v>
      </c>
      <c r="J24" s="2">
        <v>65</v>
      </c>
      <c r="K24" s="2">
        <v>43</v>
      </c>
      <c r="L24" s="5">
        <f t="shared" si="2"/>
        <v>4.3179122182680899E-2</v>
      </c>
    </row>
    <row r="25" spans="1:12" x14ac:dyDescent="0.25">
      <c r="A25" t="s">
        <v>43</v>
      </c>
      <c r="B25" t="s">
        <v>11</v>
      </c>
      <c r="C25" s="10">
        <v>45976</v>
      </c>
      <c r="D25" s="18" t="str">
        <f t="shared" si="0"/>
        <v>November</v>
      </c>
      <c r="E25" s="11" t="str">
        <f t="shared" si="1"/>
        <v>2025</v>
      </c>
      <c r="F25" t="s">
        <v>12</v>
      </c>
      <c r="G25" s="2">
        <v>28124</v>
      </c>
      <c r="H25" s="2">
        <v>17131</v>
      </c>
      <c r="I25" s="2">
        <v>645</v>
      </c>
      <c r="J25" s="2">
        <v>158</v>
      </c>
      <c r="K25" s="2">
        <v>506</v>
      </c>
      <c r="L25" s="5">
        <f t="shared" si="2"/>
        <v>7.6411184402545088E-2</v>
      </c>
    </row>
    <row r="26" spans="1:12" x14ac:dyDescent="0.25">
      <c r="A26" t="s">
        <v>44</v>
      </c>
      <c r="B26" t="s">
        <v>26</v>
      </c>
      <c r="C26" s="10">
        <v>45579</v>
      </c>
      <c r="D26" s="18" t="str">
        <f t="shared" si="0"/>
        <v>October</v>
      </c>
      <c r="E26" s="11" t="str">
        <f t="shared" si="1"/>
        <v>2024</v>
      </c>
      <c r="F26" t="s">
        <v>15</v>
      </c>
      <c r="G26" s="2">
        <v>17059</v>
      </c>
      <c r="H26" s="2">
        <v>11269</v>
      </c>
      <c r="I26" s="2">
        <v>423</v>
      </c>
      <c r="J26" s="2">
        <v>68</v>
      </c>
      <c r="K26" s="2">
        <v>34</v>
      </c>
      <c r="L26" s="5">
        <f t="shared" si="2"/>
        <v>4.6587984736888813E-2</v>
      </c>
    </row>
    <row r="27" spans="1:12" x14ac:dyDescent="0.25">
      <c r="A27" t="s">
        <v>45</v>
      </c>
      <c r="B27" t="s">
        <v>17</v>
      </c>
      <c r="C27" s="10">
        <v>45909</v>
      </c>
      <c r="D27" s="18" t="str">
        <f t="shared" si="0"/>
        <v>September</v>
      </c>
      <c r="E27" s="11" t="str">
        <f t="shared" si="1"/>
        <v>2025</v>
      </c>
      <c r="F27" t="s">
        <v>12</v>
      </c>
      <c r="G27" s="2">
        <v>5218</v>
      </c>
      <c r="H27" s="2">
        <v>3851</v>
      </c>
      <c r="I27" s="2">
        <v>42</v>
      </c>
      <c r="J27" s="2">
        <v>14</v>
      </c>
      <c r="K27" s="2">
        <v>46</v>
      </c>
      <c r="L27" s="5">
        <f t="shared" si="2"/>
        <v>2.6486626850168789E-2</v>
      </c>
    </row>
    <row r="28" spans="1:12" x14ac:dyDescent="0.25">
      <c r="A28" t="s">
        <v>46</v>
      </c>
      <c r="B28" t="s">
        <v>20</v>
      </c>
      <c r="C28" s="10">
        <v>45311</v>
      </c>
      <c r="D28" s="18" t="str">
        <f t="shared" si="0"/>
        <v>January</v>
      </c>
      <c r="E28" s="11" t="str">
        <f t="shared" si="1"/>
        <v>2024</v>
      </c>
      <c r="F28" t="s">
        <v>24</v>
      </c>
      <c r="G28" s="2">
        <v>343265</v>
      </c>
      <c r="H28" s="2">
        <v>129653</v>
      </c>
      <c r="I28" s="2">
        <v>5453</v>
      </c>
      <c r="J28" s="2">
        <v>924</v>
      </c>
      <c r="K28" s="2">
        <v>4580</v>
      </c>
      <c r="L28" s="5">
        <f t="shared" si="2"/>
        <v>8.4510192590992878E-2</v>
      </c>
    </row>
    <row r="29" spans="1:12" x14ac:dyDescent="0.25">
      <c r="A29" t="s">
        <v>47</v>
      </c>
      <c r="B29" t="s">
        <v>20</v>
      </c>
      <c r="C29" s="10">
        <v>45311</v>
      </c>
      <c r="D29" s="18" t="str">
        <f t="shared" si="0"/>
        <v>January</v>
      </c>
      <c r="E29" s="11" t="str">
        <f t="shared" si="1"/>
        <v>2024</v>
      </c>
      <c r="F29" t="s">
        <v>18</v>
      </c>
      <c r="G29" s="2">
        <v>272700</v>
      </c>
      <c r="H29" s="2">
        <v>129585</v>
      </c>
      <c r="I29" s="2">
        <v>15140</v>
      </c>
      <c r="J29" s="2">
        <v>1162</v>
      </c>
      <c r="K29" s="2">
        <v>5661</v>
      </c>
      <c r="L29" s="5">
        <f t="shared" si="2"/>
        <v>0.16948720916772775</v>
      </c>
    </row>
    <row r="30" spans="1:12" x14ac:dyDescent="0.25">
      <c r="A30" t="s">
        <v>48</v>
      </c>
      <c r="B30" t="s">
        <v>14</v>
      </c>
      <c r="C30" s="10">
        <v>45856</v>
      </c>
      <c r="D30" s="18" t="str">
        <f t="shared" si="0"/>
        <v>July</v>
      </c>
      <c r="E30" s="11" t="str">
        <f t="shared" si="1"/>
        <v>2025</v>
      </c>
      <c r="F30" t="s">
        <v>15</v>
      </c>
      <c r="G30" s="2">
        <v>3041</v>
      </c>
      <c r="H30" s="2">
        <v>1504</v>
      </c>
      <c r="I30" s="2">
        <v>44</v>
      </c>
      <c r="J30" s="2">
        <v>5</v>
      </c>
      <c r="K30" s="2">
        <v>5</v>
      </c>
      <c r="L30" s="5">
        <f t="shared" si="2"/>
        <v>3.5904255319148939E-2</v>
      </c>
    </row>
    <row r="31" spans="1:12" x14ac:dyDescent="0.25">
      <c r="A31" t="s">
        <v>49</v>
      </c>
      <c r="B31" t="s">
        <v>20</v>
      </c>
      <c r="C31" s="10">
        <v>45600</v>
      </c>
      <c r="D31" s="18" t="str">
        <f t="shared" si="0"/>
        <v>November</v>
      </c>
      <c r="E31" s="11" t="str">
        <f t="shared" si="1"/>
        <v>2024</v>
      </c>
      <c r="F31" t="s">
        <v>18</v>
      </c>
      <c r="G31" s="2">
        <v>458030</v>
      </c>
      <c r="H31" s="2">
        <v>177152</v>
      </c>
      <c r="I31" s="2">
        <v>5638</v>
      </c>
      <c r="J31" s="2">
        <v>1481</v>
      </c>
      <c r="K31" s="2">
        <v>8257</v>
      </c>
      <c r="L31" s="5">
        <f t="shared" si="2"/>
        <v>8.6795520231213869E-2</v>
      </c>
    </row>
    <row r="32" spans="1:12" x14ac:dyDescent="0.25">
      <c r="A32" t="s">
        <v>50</v>
      </c>
      <c r="B32" t="s">
        <v>14</v>
      </c>
      <c r="C32" s="10">
        <v>45925</v>
      </c>
      <c r="D32" s="18" t="str">
        <f t="shared" si="0"/>
        <v>September</v>
      </c>
      <c r="E32" s="11" t="str">
        <f t="shared" si="1"/>
        <v>2025</v>
      </c>
      <c r="F32" t="s">
        <v>15</v>
      </c>
      <c r="G32" s="2">
        <v>35777</v>
      </c>
      <c r="H32" s="2">
        <v>21884</v>
      </c>
      <c r="I32" s="2">
        <v>534</v>
      </c>
      <c r="J32" s="2">
        <v>93</v>
      </c>
      <c r="K32" s="2">
        <v>46</v>
      </c>
      <c r="L32" s="5">
        <f t="shared" si="2"/>
        <v>3.0753061597514165E-2</v>
      </c>
    </row>
    <row r="33" spans="1:12" x14ac:dyDescent="0.25">
      <c r="A33" t="s">
        <v>51</v>
      </c>
      <c r="B33" t="s">
        <v>11</v>
      </c>
      <c r="C33" s="10">
        <v>45839</v>
      </c>
      <c r="D33" s="18" t="str">
        <f t="shared" si="0"/>
        <v>July</v>
      </c>
      <c r="E33" s="11" t="str">
        <f t="shared" si="1"/>
        <v>2025</v>
      </c>
      <c r="F33" t="s">
        <v>12</v>
      </c>
      <c r="G33" s="2">
        <v>15233</v>
      </c>
      <c r="H33" s="2">
        <v>10461</v>
      </c>
      <c r="I33" s="2">
        <v>106</v>
      </c>
      <c r="J33" s="2">
        <v>82</v>
      </c>
      <c r="K33" s="2">
        <v>289</v>
      </c>
      <c r="L33" s="5">
        <f t="shared" si="2"/>
        <v>4.5597935187840548E-2</v>
      </c>
    </row>
    <row r="34" spans="1:12" x14ac:dyDescent="0.25">
      <c r="A34" t="s">
        <v>52</v>
      </c>
      <c r="B34" t="s">
        <v>11</v>
      </c>
      <c r="C34" s="10">
        <v>45606</v>
      </c>
      <c r="D34" s="18" t="str">
        <f t="shared" si="0"/>
        <v>November</v>
      </c>
      <c r="E34" s="11" t="str">
        <f t="shared" si="1"/>
        <v>2024</v>
      </c>
      <c r="F34" t="s">
        <v>18</v>
      </c>
      <c r="G34" s="2">
        <v>47861</v>
      </c>
      <c r="H34" s="2">
        <v>33077</v>
      </c>
      <c r="I34" s="2">
        <v>457</v>
      </c>
      <c r="J34" s="2">
        <v>612</v>
      </c>
      <c r="K34" s="2">
        <v>666</v>
      </c>
      <c r="L34" s="5">
        <f t="shared" si="2"/>
        <v>5.2453366387520031E-2</v>
      </c>
    </row>
    <row r="35" spans="1:12" x14ac:dyDescent="0.25">
      <c r="A35" t="s">
        <v>53</v>
      </c>
      <c r="B35" t="s">
        <v>26</v>
      </c>
      <c r="C35" s="10">
        <v>45642</v>
      </c>
      <c r="D35" s="18" t="str">
        <f t="shared" si="0"/>
        <v>December</v>
      </c>
      <c r="E35" s="11" t="str">
        <f t="shared" si="1"/>
        <v>2024</v>
      </c>
      <c r="F35" t="s">
        <v>18</v>
      </c>
      <c r="G35" s="2">
        <v>31340</v>
      </c>
      <c r="H35" s="2">
        <v>20034</v>
      </c>
      <c r="I35" s="2">
        <v>370</v>
      </c>
      <c r="J35" s="2">
        <v>402</v>
      </c>
      <c r="K35" s="2">
        <v>184</v>
      </c>
      <c r="L35" s="5">
        <f t="shared" si="2"/>
        <v>4.7718877907557154E-2</v>
      </c>
    </row>
    <row r="36" spans="1:12" x14ac:dyDescent="0.25">
      <c r="A36" t="s">
        <v>54</v>
      </c>
      <c r="B36" t="s">
        <v>14</v>
      </c>
      <c r="C36" s="10">
        <v>46013</v>
      </c>
      <c r="D36" s="18" t="str">
        <f t="shared" si="0"/>
        <v>December</v>
      </c>
      <c r="E36" s="11" t="str">
        <f t="shared" si="1"/>
        <v>2025</v>
      </c>
      <c r="F36" t="s">
        <v>15</v>
      </c>
      <c r="G36" s="2">
        <v>39118</v>
      </c>
      <c r="H36" s="2">
        <v>25411</v>
      </c>
      <c r="I36" s="2">
        <v>830</v>
      </c>
      <c r="J36" s="2">
        <v>287</v>
      </c>
      <c r="K36" s="2">
        <v>240</v>
      </c>
      <c r="L36" s="5">
        <f t="shared" si="2"/>
        <v>5.3402069969698165E-2</v>
      </c>
    </row>
    <row r="37" spans="1:12" x14ac:dyDescent="0.25">
      <c r="A37" t="s">
        <v>55</v>
      </c>
      <c r="B37" t="s">
        <v>20</v>
      </c>
      <c r="C37" s="10">
        <v>45760</v>
      </c>
      <c r="D37" s="18" t="str">
        <f t="shared" si="0"/>
        <v>April</v>
      </c>
      <c r="E37" s="11" t="str">
        <f t="shared" si="1"/>
        <v>2025</v>
      </c>
      <c r="F37" t="s">
        <v>24</v>
      </c>
      <c r="G37" s="2">
        <v>24021</v>
      </c>
      <c r="H37" s="2">
        <v>8915</v>
      </c>
      <c r="I37" s="2">
        <v>1051</v>
      </c>
      <c r="J37" s="2">
        <v>243</v>
      </c>
      <c r="K37" s="2">
        <v>176</v>
      </c>
      <c r="L37" s="5">
        <f t="shared" si="2"/>
        <v>0.16489063376332025</v>
      </c>
    </row>
    <row r="38" spans="1:12" x14ac:dyDescent="0.25">
      <c r="A38" t="s">
        <v>56</v>
      </c>
      <c r="B38" t="s">
        <v>20</v>
      </c>
      <c r="C38" s="10">
        <v>45796</v>
      </c>
      <c r="D38" s="18" t="str">
        <f t="shared" si="0"/>
        <v>May</v>
      </c>
      <c r="E38" s="11" t="str">
        <f t="shared" si="1"/>
        <v>2025</v>
      </c>
      <c r="F38" t="s">
        <v>24</v>
      </c>
      <c r="G38" s="2">
        <v>366792</v>
      </c>
      <c r="H38" s="2">
        <v>130891</v>
      </c>
      <c r="I38" s="2">
        <v>14527</v>
      </c>
      <c r="J38" s="2">
        <v>2483</v>
      </c>
      <c r="K38" s="2">
        <v>3148</v>
      </c>
      <c r="L38" s="5">
        <f t="shared" si="2"/>
        <v>0.15400600499652384</v>
      </c>
    </row>
    <row r="39" spans="1:12" x14ac:dyDescent="0.25">
      <c r="A39" t="s">
        <v>57</v>
      </c>
      <c r="B39" t="s">
        <v>20</v>
      </c>
      <c r="C39" s="10">
        <v>45563</v>
      </c>
      <c r="D39" s="18" t="str">
        <f t="shared" si="0"/>
        <v>September</v>
      </c>
      <c r="E39" s="11" t="str">
        <f t="shared" si="1"/>
        <v>2024</v>
      </c>
      <c r="F39" t="s">
        <v>18</v>
      </c>
      <c r="G39" s="2">
        <v>326182</v>
      </c>
      <c r="H39" s="2">
        <v>168420</v>
      </c>
      <c r="I39" s="2">
        <v>17736</v>
      </c>
      <c r="J39" s="2">
        <v>4345</v>
      </c>
      <c r="K39" s="2">
        <v>7499</v>
      </c>
      <c r="L39" s="5">
        <f t="shared" si="2"/>
        <v>0.17563234770217315</v>
      </c>
    </row>
    <row r="40" spans="1:12" x14ac:dyDescent="0.25">
      <c r="A40" t="s">
        <v>58</v>
      </c>
      <c r="B40" t="s">
        <v>26</v>
      </c>
      <c r="C40" s="10">
        <v>45738</v>
      </c>
      <c r="D40" s="18" t="str">
        <f t="shared" si="0"/>
        <v>March</v>
      </c>
      <c r="E40" s="11" t="str">
        <f t="shared" si="1"/>
        <v>2025</v>
      </c>
      <c r="F40" t="s">
        <v>32</v>
      </c>
      <c r="G40" s="2">
        <v>735</v>
      </c>
      <c r="H40" s="2">
        <v>520</v>
      </c>
      <c r="I40" s="2">
        <v>21</v>
      </c>
      <c r="J40" s="2">
        <v>3</v>
      </c>
      <c r="K40" s="2">
        <v>6</v>
      </c>
      <c r="L40" s="5">
        <f t="shared" si="2"/>
        <v>5.7692307692307696E-2</v>
      </c>
    </row>
    <row r="41" spans="1:12" x14ac:dyDescent="0.25">
      <c r="A41" t="s">
        <v>59</v>
      </c>
      <c r="B41" t="s">
        <v>20</v>
      </c>
      <c r="C41" s="10">
        <v>45690</v>
      </c>
      <c r="D41" s="18" t="str">
        <f t="shared" si="0"/>
        <v>February</v>
      </c>
      <c r="E41" s="11" t="str">
        <f t="shared" si="1"/>
        <v>2025</v>
      </c>
      <c r="F41" t="s">
        <v>24</v>
      </c>
      <c r="G41" s="2">
        <v>397172</v>
      </c>
      <c r="H41" s="2">
        <v>241369</v>
      </c>
      <c r="I41" s="2">
        <v>19478</v>
      </c>
      <c r="J41" s="2">
        <v>5480</v>
      </c>
      <c r="K41" s="2">
        <v>7454</v>
      </c>
      <c r="L41" s="5">
        <f t="shared" si="2"/>
        <v>0.13428402156034952</v>
      </c>
    </row>
    <row r="42" spans="1:12" x14ac:dyDescent="0.25">
      <c r="A42" t="s">
        <v>60</v>
      </c>
      <c r="B42" t="s">
        <v>17</v>
      </c>
      <c r="C42" s="10">
        <v>45660</v>
      </c>
      <c r="D42" s="18" t="str">
        <f t="shared" si="0"/>
        <v>January</v>
      </c>
      <c r="E42" s="11" t="str">
        <f t="shared" si="1"/>
        <v>2025</v>
      </c>
      <c r="F42" t="s">
        <v>12</v>
      </c>
      <c r="G42" s="2">
        <v>22792</v>
      </c>
      <c r="H42" s="2">
        <v>13157</v>
      </c>
      <c r="I42" s="2">
        <v>279</v>
      </c>
      <c r="J42" s="2">
        <v>61</v>
      </c>
      <c r="K42" s="2">
        <v>86</v>
      </c>
      <c r="L42" s="5">
        <f t="shared" si="2"/>
        <v>3.2378201717716805E-2</v>
      </c>
    </row>
    <row r="43" spans="1:12" x14ac:dyDescent="0.25">
      <c r="A43" t="s">
        <v>61</v>
      </c>
      <c r="B43" t="s">
        <v>11</v>
      </c>
      <c r="C43" s="10">
        <v>45991</v>
      </c>
      <c r="D43" s="18" t="str">
        <f t="shared" si="0"/>
        <v>November</v>
      </c>
      <c r="E43" s="11" t="str">
        <f t="shared" si="1"/>
        <v>2025</v>
      </c>
      <c r="F43" t="s">
        <v>15</v>
      </c>
      <c r="G43" s="2">
        <v>22661</v>
      </c>
      <c r="H43" s="2">
        <v>9101</v>
      </c>
      <c r="I43" s="2">
        <v>303</v>
      </c>
      <c r="J43" s="2">
        <v>110</v>
      </c>
      <c r="K43" s="2">
        <v>175</v>
      </c>
      <c r="L43" s="5">
        <f t="shared" si="2"/>
        <v>6.460828480386771E-2</v>
      </c>
    </row>
    <row r="44" spans="1:12" x14ac:dyDescent="0.25">
      <c r="A44" t="s">
        <v>62</v>
      </c>
      <c r="B44" t="s">
        <v>11</v>
      </c>
      <c r="C44" s="10">
        <v>45965</v>
      </c>
      <c r="D44" s="18" t="str">
        <f t="shared" si="0"/>
        <v>November</v>
      </c>
      <c r="E44" s="11" t="str">
        <f t="shared" si="1"/>
        <v>2025</v>
      </c>
      <c r="F44" t="s">
        <v>18</v>
      </c>
      <c r="G44" s="2">
        <v>55310</v>
      </c>
      <c r="H44" s="2">
        <v>30993</v>
      </c>
      <c r="I44" s="2">
        <v>966</v>
      </c>
      <c r="J44" s="2">
        <v>175</v>
      </c>
      <c r="K44" s="2">
        <v>514</v>
      </c>
      <c r="L44" s="5">
        <f t="shared" si="2"/>
        <v>5.3399154647823702E-2</v>
      </c>
    </row>
    <row r="45" spans="1:12" x14ac:dyDescent="0.25">
      <c r="A45" t="s">
        <v>63</v>
      </c>
      <c r="B45" t="s">
        <v>14</v>
      </c>
      <c r="C45" s="10">
        <v>45713</v>
      </c>
      <c r="D45" s="18" t="str">
        <f t="shared" si="0"/>
        <v>February</v>
      </c>
      <c r="E45" s="11" t="str">
        <f t="shared" si="1"/>
        <v>2025</v>
      </c>
      <c r="F45" t="s">
        <v>18</v>
      </c>
      <c r="G45" s="2">
        <v>105049</v>
      </c>
      <c r="H45" s="2">
        <v>62960</v>
      </c>
      <c r="I45" s="2">
        <v>3277</v>
      </c>
      <c r="J45" s="2">
        <v>753</v>
      </c>
      <c r="K45" s="2">
        <v>200</v>
      </c>
      <c r="L45" s="5">
        <f t="shared" si="2"/>
        <v>6.7185514612452354E-2</v>
      </c>
    </row>
    <row r="46" spans="1:12" x14ac:dyDescent="0.25">
      <c r="A46" t="s">
        <v>64</v>
      </c>
      <c r="B46" t="s">
        <v>14</v>
      </c>
      <c r="C46" s="10">
        <v>45851</v>
      </c>
      <c r="D46" s="18" t="str">
        <f t="shared" si="0"/>
        <v>July</v>
      </c>
      <c r="E46" s="11" t="str">
        <f t="shared" si="1"/>
        <v>2025</v>
      </c>
      <c r="F46" t="s">
        <v>18</v>
      </c>
      <c r="G46" s="2">
        <v>29553</v>
      </c>
      <c r="H46" s="2">
        <v>16717</v>
      </c>
      <c r="I46" s="2">
        <v>1298</v>
      </c>
      <c r="J46" s="2">
        <v>96</v>
      </c>
      <c r="K46" s="2">
        <v>129</v>
      </c>
      <c r="L46" s="5">
        <f t="shared" si="2"/>
        <v>9.1104863312795353E-2</v>
      </c>
    </row>
    <row r="47" spans="1:12" x14ac:dyDescent="0.25">
      <c r="A47" t="s">
        <v>65</v>
      </c>
      <c r="B47" t="s">
        <v>17</v>
      </c>
      <c r="C47" s="10">
        <v>45588</v>
      </c>
      <c r="D47" s="18" t="str">
        <f t="shared" si="0"/>
        <v>October</v>
      </c>
      <c r="E47" s="11" t="str">
        <f t="shared" si="1"/>
        <v>2024</v>
      </c>
      <c r="F47" t="s">
        <v>18</v>
      </c>
      <c r="G47" s="2">
        <v>58726</v>
      </c>
      <c r="H47" s="2">
        <v>49490</v>
      </c>
      <c r="I47" s="2">
        <v>634</v>
      </c>
      <c r="J47" s="2">
        <v>70</v>
      </c>
      <c r="K47" s="2">
        <v>706</v>
      </c>
      <c r="L47" s="5">
        <f t="shared" si="2"/>
        <v>2.8490604162457061E-2</v>
      </c>
    </row>
    <row r="48" spans="1:12" x14ac:dyDescent="0.25">
      <c r="A48" t="s">
        <v>66</v>
      </c>
      <c r="B48" t="s">
        <v>20</v>
      </c>
      <c r="C48" s="10">
        <v>45972</v>
      </c>
      <c r="D48" s="18" t="str">
        <f t="shared" si="0"/>
        <v>November</v>
      </c>
      <c r="E48" s="11" t="str">
        <f t="shared" si="1"/>
        <v>2025</v>
      </c>
      <c r="F48" t="s">
        <v>24</v>
      </c>
      <c r="G48" s="2">
        <v>117780</v>
      </c>
      <c r="H48" s="2">
        <v>53877</v>
      </c>
      <c r="I48" s="2">
        <v>4497</v>
      </c>
      <c r="J48" s="2">
        <v>412</v>
      </c>
      <c r="K48" s="2">
        <v>1324</v>
      </c>
      <c r="L48" s="5">
        <f t="shared" si="2"/>
        <v>0.11568944076321992</v>
      </c>
    </row>
    <row r="49" spans="1:12" x14ac:dyDescent="0.25">
      <c r="A49" t="s">
        <v>67</v>
      </c>
      <c r="B49" t="s">
        <v>20</v>
      </c>
      <c r="C49" s="10">
        <v>45629</v>
      </c>
      <c r="D49" s="18" t="str">
        <f t="shared" si="0"/>
        <v>December</v>
      </c>
      <c r="E49" s="11" t="str">
        <f t="shared" si="1"/>
        <v>2024</v>
      </c>
      <c r="F49" t="s">
        <v>24</v>
      </c>
      <c r="G49" s="2">
        <v>457636</v>
      </c>
      <c r="H49" s="2">
        <v>222209</v>
      </c>
      <c r="I49" s="2">
        <v>17827</v>
      </c>
      <c r="J49" s="2">
        <v>2665</v>
      </c>
      <c r="K49" s="2">
        <v>9391</v>
      </c>
      <c r="L49" s="5">
        <f t="shared" si="2"/>
        <v>0.13448150164934813</v>
      </c>
    </row>
    <row r="50" spans="1:12" x14ac:dyDescent="0.25">
      <c r="A50" t="s">
        <v>68</v>
      </c>
      <c r="B50" t="s">
        <v>17</v>
      </c>
      <c r="C50" s="10">
        <v>45917</v>
      </c>
      <c r="D50" s="18" t="str">
        <f t="shared" si="0"/>
        <v>September</v>
      </c>
      <c r="E50" s="11" t="str">
        <f t="shared" si="1"/>
        <v>2025</v>
      </c>
      <c r="F50" t="s">
        <v>15</v>
      </c>
      <c r="G50" s="2">
        <v>13316</v>
      </c>
      <c r="H50" s="2">
        <v>10584</v>
      </c>
      <c r="I50" s="2">
        <v>223</v>
      </c>
      <c r="J50" s="2">
        <v>53</v>
      </c>
      <c r="K50" s="2">
        <v>99</v>
      </c>
      <c r="L50" s="5">
        <f t="shared" si="2"/>
        <v>3.5430839002267574E-2</v>
      </c>
    </row>
    <row r="51" spans="1:12" x14ac:dyDescent="0.25">
      <c r="A51" t="s">
        <v>69</v>
      </c>
      <c r="B51" t="s">
        <v>26</v>
      </c>
      <c r="C51" s="10">
        <v>45939</v>
      </c>
      <c r="D51" s="18" t="str">
        <f t="shared" si="0"/>
        <v>October</v>
      </c>
      <c r="E51" s="11" t="str">
        <f t="shared" si="1"/>
        <v>2025</v>
      </c>
      <c r="F51" t="s">
        <v>15</v>
      </c>
      <c r="G51" s="2">
        <v>8646</v>
      </c>
      <c r="H51" s="2">
        <v>6027</v>
      </c>
      <c r="I51" s="2">
        <v>352</v>
      </c>
      <c r="J51" s="2">
        <v>138</v>
      </c>
      <c r="K51" s="2">
        <v>88</v>
      </c>
      <c r="L51" s="5">
        <f t="shared" si="2"/>
        <v>9.5901775344284054E-2</v>
      </c>
    </row>
    <row r="52" spans="1:12" x14ac:dyDescent="0.25">
      <c r="A52" t="s">
        <v>70</v>
      </c>
      <c r="B52" t="s">
        <v>14</v>
      </c>
      <c r="C52" s="10">
        <v>45867</v>
      </c>
      <c r="D52" s="18" t="str">
        <f t="shared" si="0"/>
        <v>July</v>
      </c>
      <c r="E52" s="11" t="str">
        <f t="shared" si="1"/>
        <v>2025</v>
      </c>
      <c r="F52" t="s">
        <v>15</v>
      </c>
      <c r="G52" s="2">
        <v>13675</v>
      </c>
      <c r="H52" s="2">
        <v>7920</v>
      </c>
      <c r="I52" s="2">
        <v>168</v>
      </c>
      <c r="J52" s="2">
        <v>41</v>
      </c>
      <c r="K52" s="2">
        <v>8</v>
      </c>
      <c r="L52" s="5">
        <f t="shared" si="2"/>
        <v>2.7398989898989898E-2</v>
      </c>
    </row>
    <row r="53" spans="1:12" x14ac:dyDescent="0.25">
      <c r="A53" t="s">
        <v>71</v>
      </c>
      <c r="B53" t="s">
        <v>17</v>
      </c>
      <c r="C53" s="10">
        <v>45445</v>
      </c>
      <c r="D53" s="18" t="str">
        <f t="shared" si="0"/>
        <v>June</v>
      </c>
      <c r="E53" s="11" t="str">
        <f t="shared" si="1"/>
        <v>2024</v>
      </c>
      <c r="F53" t="s">
        <v>18</v>
      </c>
      <c r="G53" s="2">
        <v>48287</v>
      </c>
      <c r="H53" s="2">
        <v>41966</v>
      </c>
      <c r="I53" s="2">
        <v>528</v>
      </c>
      <c r="J53" s="2">
        <v>282</v>
      </c>
      <c r="K53" s="2">
        <v>724</v>
      </c>
      <c r="L53" s="5">
        <f t="shared" si="2"/>
        <v>3.6553400371729494E-2</v>
      </c>
    </row>
    <row r="54" spans="1:12" x14ac:dyDescent="0.25">
      <c r="A54" t="s">
        <v>72</v>
      </c>
      <c r="B54" t="s">
        <v>14</v>
      </c>
      <c r="C54" s="10">
        <v>45730</v>
      </c>
      <c r="D54" s="18" t="str">
        <f t="shared" si="0"/>
        <v>March</v>
      </c>
      <c r="E54" s="11" t="str">
        <f t="shared" si="1"/>
        <v>2025</v>
      </c>
      <c r="F54" t="s">
        <v>24</v>
      </c>
      <c r="G54" s="2">
        <v>117992</v>
      </c>
      <c r="H54" s="2">
        <v>57025</v>
      </c>
      <c r="I54" s="2">
        <v>2223</v>
      </c>
      <c r="J54" s="2">
        <v>246</v>
      </c>
      <c r="K54" s="2">
        <v>506</v>
      </c>
      <c r="L54" s="5">
        <f t="shared" si="2"/>
        <v>5.2170100832967997E-2</v>
      </c>
    </row>
    <row r="55" spans="1:12" x14ac:dyDescent="0.25">
      <c r="A55" t="s">
        <v>73</v>
      </c>
      <c r="B55" t="s">
        <v>20</v>
      </c>
      <c r="C55" s="10">
        <v>45839</v>
      </c>
      <c r="D55" s="18" t="str">
        <f t="shared" si="0"/>
        <v>July</v>
      </c>
      <c r="E55" s="11" t="str">
        <f t="shared" si="1"/>
        <v>2025</v>
      </c>
      <c r="F55" t="s">
        <v>24</v>
      </c>
      <c r="G55" s="2">
        <v>506642</v>
      </c>
      <c r="H55" s="2">
        <v>174546</v>
      </c>
      <c r="I55" s="2">
        <v>6615</v>
      </c>
      <c r="J55" s="2">
        <v>4959</v>
      </c>
      <c r="K55" s="2">
        <v>4706</v>
      </c>
      <c r="L55" s="5">
        <f t="shared" si="2"/>
        <v>9.3270541862890008E-2</v>
      </c>
    </row>
    <row r="56" spans="1:12" x14ac:dyDescent="0.25">
      <c r="A56" t="s">
        <v>74</v>
      </c>
      <c r="B56" t="s">
        <v>14</v>
      </c>
      <c r="C56" s="10">
        <v>45529</v>
      </c>
      <c r="D56" s="18" t="str">
        <f t="shared" si="0"/>
        <v>August</v>
      </c>
      <c r="E56" s="11" t="str">
        <f t="shared" si="1"/>
        <v>2024</v>
      </c>
      <c r="F56" t="s">
        <v>32</v>
      </c>
      <c r="G56" s="2">
        <v>69218</v>
      </c>
      <c r="H56" s="2">
        <v>32641</v>
      </c>
      <c r="I56" s="2">
        <v>2526</v>
      </c>
      <c r="J56" s="2">
        <v>238</v>
      </c>
      <c r="K56" s="2">
        <v>142</v>
      </c>
      <c r="L56" s="5">
        <f t="shared" si="2"/>
        <v>8.9029135136791157E-2</v>
      </c>
    </row>
    <row r="57" spans="1:12" x14ac:dyDescent="0.25">
      <c r="A57" t="s">
        <v>75</v>
      </c>
      <c r="B57" t="s">
        <v>26</v>
      </c>
      <c r="C57" s="10">
        <v>45802</v>
      </c>
      <c r="D57" s="18" t="str">
        <f t="shared" si="0"/>
        <v>May</v>
      </c>
      <c r="E57" s="11" t="str">
        <f t="shared" si="1"/>
        <v>2025</v>
      </c>
      <c r="F57" t="s">
        <v>32</v>
      </c>
      <c r="G57" s="2">
        <v>14531</v>
      </c>
      <c r="H57" s="2">
        <v>8760</v>
      </c>
      <c r="I57" s="2">
        <v>299</v>
      </c>
      <c r="J57" s="2">
        <v>123</v>
      </c>
      <c r="K57" s="2">
        <v>119</v>
      </c>
      <c r="L57" s="5">
        <f t="shared" si="2"/>
        <v>6.1757990867579909E-2</v>
      </c>
    </row>
    <row r="58" spans="1:12" x14ac:dyDescent="0.25">
      <c r="A58" t="s">
        <v>76</v>
      </c>
      <c r="B58" t="s">
        <v>14</v>
      </c>
      <c r="C58" s="10">
        <v>45923</v>
      </c>
      <c r="D58" s="18" t="str">
        <f t="shared" si="0"/>
        <v>September</v>
      </c>
      <c r="E58" s="11" t="str">
        <f t="shared" si="1"/>
        <v>2025</v>
      </c>
      <c r="F58" t="s">
        <v>24</v>
      </c>
      <c r="G58" s="2">
        <v>8393</v>
      </c>
      <c r="H58" s="2">
        <v>4428</v>
      </c>
      <c r="I58" s="2">
        <v>318</v>
      </c>
      <c r="J58" s="2">
        <v>23</v>
      </c>
      <c r="K58" s="2">
        <v>9</v>
      </c>
      <c r="L58" s="5">
        <f t="shared" si="2"/>
        <v>7.9042457091237583E-2</v>
      </c>
    </row>
    <row r="59" spans="1:12" x14ac:dyDescent="0.25">
      <c r="A59" t="s">
        <v>77</v>
      </c>
      <c r="B59" t="s">
        <v>14</v>
      </c>
      <c r="C59" s="10">
        <v>45293</v>
      </c>
      <c r="D59" s="18" t="str">
        <f t="shared" si="0"/>
        <v>January</v>
      </c>
      <c r="E59" s="11" t="str">
        <f t="shared" si="1"/>
        <v>2024</v>
      </c>
      <c r="F59" t="s">
        <v>32</v>
      </c>
      <c r="G59" s="2">
        <v>77758</v>
      </c>
      <c r="H59" s="2">
        <v>53039</v>
      </c>
      <c r="I59" s="2">
        <v>4006</v>
      </c>
      <c r="J59" s="2">
        <v>345</v>
      </c>
      <c r="K59" s="2">
        <v>272</v>
      </c>
      <c r="L59" s="5">
        <f t="shared" si="2"/>
        <v>8.7162276815173745E-2</v>
      </c>
    </row>
    <row r="60" spans="1:12" x14ac:dyDescent="0.25">
      <c r="A60" t="s">
        <v>78</v>
      </c>
      <c r="B60" t="s">
        <v>17</v>
      </c>
      <c r="C60" s="10">
        <v>46006</v>
      </c>
      <c r="D60" s="18" t="str">
        <f t="shared" si="0"/>
        <v>December</v>
      </c>
      <c r="E60" s="11" t="str">
        <f t="shared" si="1"/>
        <v>2025</v>
      </c>
      <c r="F60" t="s">
        <v>12</v>
      </c>
      <c r="G60" s="2">
        <v>5028</v>
      </c>
      <c r="H60" s="2">
        <v>3861</v>
      </c>
      <c r="I60" s="2">
        <v>103</v>
      </c>
      <c r="J60" s="2">
        <v>29</v>
      </c>
      <c r="K60" s="2">
        <v>12</v>
      </c>
      <c r="L60" s="5">
        <f t="shared" si="2"/>
        <v>3.7296037296037296E-2</v>
      </c>
    </row>
    <row r="61" spans="1:12" x14ac:dyDescent="0.25">
      <c r="A61" t="s">
        <v>79</v>
      </c>
      <c r="B61" t="s">
        <v>20</v>
      </c>
      <c r="C61" s="10">
        <v>45957</v>
      </c>
      <c r="D61" s="18" t="str">
        <f t="shared" si="0"/>
        <v>October</v>
      </c>
      <c r="E61" s="11" t="str">
        <f t="shared" si="1"/>
        <v>2025</v>
      </c>
      <c r="F61" t="s">
        <v>18</v>
      </c>
      <c r="G61" s="2">
        <v>168937</v>
      </c>
      <c r="H61" s="2">
        <v>114463</v>
      </c>
      <c r="I61" s="2">
        <v>9826</v>
      </c>
      <c r="J61" s="2">
        <v>1326</v>
      </c>
      <c r="K61" s="2">
        <v>4902</v>
      </c>
      <c r="L61" s="5">
        <f t="shared" si="2"/>
        <v>0.14025492954055022</v>
      </c>
    </row>
    <row r="62" spans="1:12" x14ac:dyDescent="0.25">
      <c r="A62" t="s">
        <v>80</v>
      </c>
      <c r="B62" t="s">
        <v>14</v>
      </c>
      <c r="C62" s="10">
        <v>45823</v>
      </c>
      <c r="D62" s="18" t="str">
        <f t="shared" si="0"/>
        <v>June</v>
      </c>
      <c r="E62" s="11" t="str">
        <f t="shared" si="1"/>
        <v>2025</v>
      </c>
      <c r="F62" t="s">
        <v>18</v>
      </c>
      <c r="G62" s="2">
        <v>93930</v>
      </c>
      <c r="H62" s="2">
        <v>59514</v>
      </c>
      <c r="I62" s="2">
        <v>3659</v>
      </c>
      <c r="J62" s="2">
        <v>610</v>
      </c>
      <c r="K62" s="2">
        <v>342</v>
      </c>
      <c r="L62" s="5">
        <f t="shared" si="2"/>
        <v>7.7477568303256375E-2</v>
      </c>
    </row>
    <row r="63" spans="1:12" x14ac:dyDescent="0.25">
      <c r="A63" t="s">
        <v>81</v>
      </c>
      <c r="B63" t="s">
        <v>14</v>
      </c>
      <c r="C63" s="10">
        <v>45696</v>
      </c>
      <c r="D63" s="18" t="str">
        <f t="shared" si="0"/>
        <v>February</v>
      </c>
      <c r="E63" s="11" t="str">
        <f t="shared" si="1"/>
        <v>2025</v>
      </c>
      <c r="F63" t="s">
        <v>32</v>
      </c>
      <c r="G63" s="2">
        <v>5838</v>
      </c>
      <c r="H63" s="2">
        <v>4002</v>
      </c>
      <c r="I63" s="2">
        <v>204</v>
      </c>
      <c r="J63" s="2">
        <v>10</v>
      </c>
      <c r="K63" s="2">
        <v>26</v>
      </c>
      <c r="L63" s="5">
        <f t="shared" si="2"/>
        <v>5.9970014992503748E-2</v>
      </c>
    </row>
    <row r="64" spans="1:12" x14ac:dyDescent="0.25">
      <c r="A64" t="s">
        <v>82</v>
      </c>
      <c r="B64" t="s">
        <v>14</v>
      </c>
      <c r="C64" s="10">
        <v>45481</v>
      </c>
      <c r="D64" s="18" t="str">
        <f t="shared" si="0"/>
        <v>July</v>
      </c>
      <c r="E64" s="11" t="str">
        <f t="shared" si="1"/>
        <v>2024</v>
      </c>
      <c r="F64" t="s">
        <v>32</v>
      </c>
      <c r="G64" s="2">
        <v>37520</v>
      </c>
      <c r="H64" s="2">
        <v>22934</v>
      </c>
      <c r="I64" s="2">
        <v>1461</v>
      </c>
      <c r="J64" s="2">
        <v>213</v>
      </c>
      <c r="K64" s="2">
        <v>55</v>
      </c>
      <c r="L64" s="5">
        <f t="shared" si="2"/>
        <v>7.5390250283422E-2</v>
      </c>
    </row>
    <row r="65" spans="1:12" x14ac:dyDescent="0.25">
      <c r="A65" t="s">
        <v>83</v>
      </c>
      <c r="B65" t="s">
        <v>20</v>
      </c>
      <c r="C65" s="10">
        <v>45380</v>
      </c>
      <c r="D65" s="18" t="str">
        <f t="shared" si="0"/>
        <v>March</v>
      </c>
      <c r="E65" s="11" t="str">
        <f t="shared" si="1"/>
        <v>2024</v>
      </c>
      <c r="F65" t="s">
        <v>24</v>
      </c>
      <c r="G65" s="2">
        <v>71516</v>
      </c>
      <c r="H65" s="2">
        <v>27664</v>
      </c>
      <c r="I65" s="2">
        <v>3172</v>
      </c>
      <c r="J65" s="2">
        <v>660</v>
      </c>
      <c r="K65" s="2">
        <v>436</v>
      </c>
      <c r="L65" s="5">
        <f t="shared" si="2"/>
        <v>0.15427993059572007</v>
      </c>
    </row>
    <row r="66" spans="1:12" x14ac:dyDescent="0.25">
      <c r="A66" t="s">
        <v>84</v>
      </c>
      <c r="B66" t="s">
        <v>20</v>
      </c>
      <c r="C66" s="10">
        <v>45798</v>
      </c>
      <c r="D66" s="18" t="str">
        <f t="shared" si="0"/>
        <v>May</v>
      </c>
      <c r="E66" s="11" t="str">
        <f t="shared" si="1"/>
        <v>2025</v>
      </c>
      <c r="F66" t="s">
        <v>18</v>
      </c>
      <c r="G66" s="2">
        <v>299132</v>
      </c>
      <c r="H66" s="2">
        <v>161505</v>
      </c>
      <c r="I66" s="2">
        <v>7593</v>
      </c>
      <c r="J66" s="2">
        <v>4816</v>
      </c>
      <c r="K66" s="2">
        <v>6033</v>
      </c>
      <c r="L66" s="5">
        <f t="shared" si="2"/>
        <v>0.11418841521934306</v>
      </c>
    </row>
    <row r="67" spans="1:12" x14ac:dyDescent="0.25">
      <c r="A67" t="s">
        <v>85</v>
      </c>
      <c r="B67" t="s">
        <v>17</v>
      </c>
      <c r="C67" s="10">
        <v>45962</v>
      </c>
      <c r="D67" s="18" t="str">
        <f t="shared" ref="D67:D130" si="3">TEXT($C67,"MMMM")</f>
        <v>November</v>
      </c>
      <c r="E67" s="11" t="str">
        <f t="shared" ref="E67:E130" si="4">TEXT(C67,"yyyy")</f>
        <v>2025</v>
      </c>
      <c r="F67" t="s">
        <v>12</v>
      </c>
      <c r="G67" s="2">
        <v>8127</v>
      </c>
      <c r="H67" s="2">
        <v>5127</v>
      </c>
      <c r="I67" s="2">
        <v>50</v>
      </c>
      <c r="J67" s="2">
        <v>10</v>
      </c>
      <c r="K67" s="2">
        <v>43</v>
      </c>
      <c r="L67" s="5">
        <f t="shared" ref="L67:L130" si="5">SUM(I67:K67)/H67</f>
        <v>2.0089721084454847E-2</v>
      </c>
    </row>
    <row r="68" spans="1:12" x14ac:dyDescent="0.25">
      <c r="A68" t="s">
        <v>86</v>
      </c>
      <c r="B68" t="s">
        <v>20</v>
      </c>
      <c r="C68" s="10">
        <v>45485</v>
      </c>
      <c r="D68" s="18" t="str">
        <f t="shared" si="3"/>
        <v>July</v>
      </c>
      <c r="E68" s="11" t="str">
        <f t="shared" si="4"/>
        <v>2024</v>
      </c>
      <c r="F68" t="s">
        <v>18</v>
      </c>
      <c r="G68" s="2">
        <v>407702</v>
      </c>
      <c r="H68" s="2">
        <v>147642</v>
      </c>
      <c r="I68" s="2">
        <v>12661</v>
      </c>
      <c r="J68" s="2">
        <v>1316</v>
      </c>
      <c r="K68" s="2">
        <v>6009</v>
      </c>
      <c r="L68" s="5">
        <f t="shared" si="5"/>
        <v>0.13536798471979519</v>
      </c>
    </row>
    <row r="69" spans="1:12" x14ac:dyDescent="0.25">
      <c r="A69" t="s">
        <v>87</v>
      </c>
      <c r="B69" t="s">
        <v>20</v>
      </c>
      <c r="C69" s="10">
        <v>45668</v>
      </c>
      <c r="D69" s="18" t="str">
        <f t="shared" si="3"/>
        <v>January</v>
      </c>
      <c r="E69" s="11" t="str">
        <f t="shared" si="4"/>
        <v>2025</v>
      </c>
      <c r="F69" t="s">
        <v>24</v>
      </c>
      <c r="G69" s="2">
        <v>535523</v>
      </c>
      <c r="H69" s="2">
        <v>341530</v>
      </c>
      <c r="I69" s="2">
        <v>38740</v>
      </c>
      <c r="J69" s="2">
        <v>3884</v>
      </c>
      <c r="K69" s="2">
        <v>4175</v>
      </c>
      <c r="L69" s="5">
        <f t="shared" si="5"/>
        <v>0.13702749392439903</v>
      </c>
    </row>
    <row r="70" spans="1:12" x14ac:dyDescent="0.25">
      <c r="A70" t="s">
        <v>88</v>
      </c>
      <c r="B70" t="s">
        <v>26</v>
      </c>
      <c r="C70" s="10">
        <v>45763</v>
      </c>
      <c r="D70" s="18" t="str">
        <f t="shared" si="3"/>
        <v>April</v>
      </c>
      <c r="E70" s="11" t="str">
        <f t="shared" si="4"/>
        <v>2025</v>
      </c>
      <c r="F70" t="s">
        <v>18</v>
      </c>
      <c r="G70" s="2">
        <v>15843</v>
      </c>
      <c r="H70" s="2">
        <v>11545</v>
      </c>
      <c r="I70" s="2">
        <v>269</v>
      </c>
      <c r="J70" s="2">
        <v>263</v>
      </c>
      <c r="K70" s="2">
        <v>53</v>
      </c>
      <c r="L70" s="5">
        <f t="shared" si="5"/>
        <v>5.0671286271113038E-2</v>
      </c>
    </row>
    <row r="71" spans="1:12" x14ac:dyDescent="0.25">
      <c r="A71" t="s">
        <v>89</v>
      </c>
      <c r="B71" t="s">
        <v>17</v>
      </c>
      <c r="C71" s="10">
        <v>45840</v>
      </c>
      <c r="D71" s="18" t="str">
        <f t="shared" si="3"/>
        <v>July</v>
      </c>
      <c r="E71" s="11" t="str">
        <f t="shared" si="4"/>
        <v>2025</v>
      </c>
      <c r="F71" t="s">
        <v>15</v>
      </c>
      <c r="G71" s="2">
        <v>11965</v>
      </c>
      <c r="H71" s="2">
        <v>10699</v>
      </c>
      <c r="I71" s="2">
        <v>275</v>
      </c>
      <c r="J71" s="2">
        <v>46</v>
      </c>
      <c r="K71" s="2">
        <v>197</v>
      </c>
      <c r="L71" s="5">
        <f t="shared" si="5"/>
        <v>4.8415739788765302E-2</v>
      </c>
    </row>
    <row r="72" spans="1:12" x14ac:dyDescent="0.25">
      <c r="A72" t="s">
        <v>90</v>
      </c>
      <c r="B72" t="s">
        <v>26</v>
      </c>
      <c r="C72" s="10">
        <v>45753</v>
      </c>
      <c r="D72" s="18" t="str">
        <f t="shared" si="3"/>
        <v>April</v>
      </c>
      <c r="E72" s="11" t="str">
        <f t="shared" si="4"/>
        <v>2025</v>
      </c>
      <c r="F72" t="s">
        <v>12</v>
      </c>
      <c r="G72" s="2">
        <v>11571</v>
      </c>
      <c r="H72" s="2">
        <v>6047</v>
      </c>
      <c r="I72" s="2">
        <v>288</v>
      </c>
      <c r="J72" s="2">
        <v>49</v>
      </c>
      <c r="K72" s="2">
        <v>37</v>
      </c>
      <c r="L72" s="5">
        <f t="shared" si="5"/>
        <v>6.1848850669753597E-2</v>
      </c>
    </row>
    <row r="73" spans="1:12" x14ac:dyDescent="0.25">
      <c r="A73" t="s">
        <v>91</v>
      </c>
      <c r="B73" t="s">
        <v>11</v>
      </c>
      <c r="C73" s="10">
        <v>45621</v>
      </c>
      <c r="D73" s="18" t="str">
        <f t="shared" si="3"/>
        <v>November</v>
      </c>
      <c r="E73" s="11" t="str">
        <f t="shared" si="4"/>
        <v>2024</v>
      </c>
      <c r="F73" t="s">
        <v>18</v>
      </c>
      <c r="G73" s="2">
        <v>15181</v>
      </c>
      <c r="H73" s="2">
        <v>6189</v>
      </c>
      <c r="I73" s="2">
        <v>90</v>
      </c>
      <c r="J73" s="2">
        <v>103</v>
      </c>
      <c r="K73" s="2">
        <v>156</v>
      </c>
      <c r="L73" s="5">
        <f t="shared" si="5"/>
        <v>5.6390370011310392E-2</v>
      </c>
    </row>
    <row r="74" spans="1:12" x14ac:dyDescent="0.25">
      <c r="A74" t="s">
        <v>92</v>
      </c>
      <c r="B74" t="s">
        <v>11</v>
      </c>
      <c r="C74" s="10">
        <v>45320</v>
      </c>
      <c r="D74" s="18" t="str">
        <f t="shared" si="3"/>
        <v>January</v>
      </c>
      <c r="E74" s="11" t="str">
        <f t="shared" si="4"/>
        <v>2024</v>
      </c>
      <c r="F74" t="s">
        <v>32</v>
      </c>
      <c r="G74" s="2">
        <v>5673</v>
      </c>
      <c r="H74" s="2">
        <v>3035</v>
      </c>
      <c r="I74" s="2">
        <v>54</v>
      </c>
      <c r="J74" s="2">
        <v>12</v>
      </c>
      <c r="K74" s="2">
        <v>27</v>
      </c>
      <c r="L74" s="5">
        <f t="shared" si="5"/>
        <v>3.0642504118616146E-2</v>
      </c>
    </row>
    <row r="75" spans="1:12" x14ac:dyDescent="0.25">
      <c r="A75" t="s">
        <v>93</v>
      </c>
      <c r="B75" t="s">
        <v>20</v>
      </c>
      <c r="C75" s="10">
        <v>45561</v>
      </c>
      <c r="D75" s="18" t="str">
        <f t="shared" si="3"/>
        <v>September</v>
      </c>
      <c r="E75" s="11" t="str">
        <f t="shared" si="4"/>
        <v>2024</v>
      </c>
      <c r="F75" t="s">
        <v>24</v>
      </c>
      <c r="G75" s="2">
        <v>262599</v>
      </c>
      <c r="H75" s="2">
        <v>95367</v>
      </c>
      <c r="I75" s="2">
        <v>6417</v>
      </c>
      <c r="J75" s="2">
        <v>2040</v>
      </c>
      <c r="K75" s="2">
        <v>4153</v>
      </c>
      <c r="L75" s="5">
        <f t="shared" si="5"/>
        <v>0.13222603206559921</v>
      </c>
    </row>
    <row r="76" spans="1:12" x14ac:dyDescent="0.25">
      <c r="A76" t="s">
        <v>94</v>
      </c>
      <c r="B76" t="s">
        <v>17</v>
      </c>
      <c r="C76" s="10">
        <v>45542</v>
      </c>
      <c r="D76" s="18" t="str">
        <f t="shared" si="3"/>
        <v>September</v>
      </c>
      <c r="E76" s="11" t="str">
        <f t="shared" si="4"/>
        <v>2024</v>
      </c>
      <c r="F76" t="s">
        <v>15</v>
      </c>
      <c r="G76" s="2">
        <v>12143</v>
      </c>
      <c r="H76" s="2">
        <v>9572</v>
      </c>
      <c r="I76" s="2">
        <v>258</v>
      </c>
      <c r="J76" s="2">
        <v>64</v>
      </c>
      <c r="K76" s="2">
        <v>64</v>
      </c>
      <c r="L76" s="5">
        <f t="shared" si="5"/>
        <v>4.0325950689511073E-2</v>
      </c>
    </row>
    <row r="77" spans="1:12" x14ac:dyDescent="0.25">
      <c r="A77" t="s">
        <v>95</v>
      </c>
      <c r="B77" t="s">
        <v>20</v>
      </c>
      <c r="C77" s="10">
        <v>45538</v>
      </c>
      <c r="D77" s="18" t="str">
        <f t="shared" si="3"/>
        <v>September</v>
      </c>
      <c r="E77" s="11" t="str">
        <f t="shared" si="4"/>
        <v>2024</v>
      </c>
      <c r="F77" t="s">
        <v>24</v>
      </c>
      <c r="G77" s="2">
        <v>358986</v>
      </c>
      <c r="H77" s="2">
        <v>121792</v>
      </c>
      <c r="I77" s="2">
        <v>12616</v>
      </c>
      <c r="J77" s="2">
        <v>1536</v>
      </c>
      <c r="K77" s="2">
        <v>3892</v>
      </c>
      <c r="L77" s="5">
        <f t="shared" si="5"/>
        <v>0.14815423016290069</v>
      </c>
    </row>
    <row r="78" spans="1:12" x14ac:dyDescent="0.25">
      <c r="A78" t="s">
        <v>96</v>
      </c>
      <c r="B78" t="s">
        <v>11</v>
      </c>
      <c r="C78" s="10">
        <v>45392</v>
      </c>
      <c r="D78" s="18" t="str">
        <f t="shared" si="3"/>
        <v>April</v>
      </c>
      <c r="E78" s="11" t="str">
        <f t="shared" si="4"/>
        <v>2024</v>
      </c>
      <c r="F78" t="s">
        <v>15</v>
      </c>
      <c r="G78" s="2">
        <v>12649</v>
      </c>
      <c r="H78" s="2">
        <v>4990</v>
      </c>
      <c r="I78" s="2">
        <v>212</v>
      </c>
      <c r="J78" s="2">
        <v>24</v>
      </c>
      <c r="K78" s="2">
        <v>37</v>
      </c>
      <c r="L78" s="5">
        <f t="shared" si="5"/>
        <v>5.4709418837675348E-2</v>
      </c>
    </row>
    <row r="79" spans="1:12" x14ac:dyDescent="0.25">
      <c r="A79" t="s">
        <v>97</v>
      </c>
      <c r="B79" t="s">
        <v>14</v>
      </c>
      <c r="C79" s="10">
        <v>45748</v>
      </c>
      <c r="D79" s="18" t="str">
        <f t="shared" si="3"/>
        <v>April</v>
      </c>
      <c r="E79" s="11" t="str">
        <f t="shared" si="4"/>
        <v>2025</v>
      </c>
      <c r="F79" t="s">
        <v>24</v>
      </c>
      <c r="G79" s="2">
        <v>92618</v>
      </c>
      <c r="H79" s="2">
        <v>58170</v>
      </c>
      <c r="I79" s="2">
        <v>4526</v>
      </c>
      <c r="J79" s="2">
        <v>868</v>
      </c>
      <c r="K79" s="2">
        <v>347</v>
      </c>
      <c r="L79" s="5">
        <f t="shared" si="5"/>
        <v>9.869348461406223E-2</v>
      </c>
    </row>
    <row r="80" spans="1:12" x14ac:dyDescent="0.25">
      <c r="A80" t="s">
        <v>98</v>
      </c>
      <c r="B80" t="s">
        <v>17</v>
      </c>
      <c r="C80" s="10">
        <v>45454</v>
      </c>
      <c r="D80" s="18" t="str">
        <f t="shared" si="3"/>
        <v>June</v>
      </c>
      <c r="E80" s="11" t="str">
        <f t="shared" si="4"/>
        <v>2024</v>
      </c>
      <c r="F80" t="s">
        <v>18</v>
      </c>
      <c r="G80" s="2">
        <v>49374</v>
      </c>
      <c r="H80" s="2">
        <v>41354</v>
      </c>
      <c r="I80" s="2">
        <v>251</v>
      </c>
      <c r="J80" s="2">
        <v>250</v>
      </c>
      <c r="K80" s="2">
        <v>595</v>
      </c>
      <c r="L80" s="5">
        <f t="shared" si="5"/>
        <v>2.6502877593461333E-2</v>
      </c>
    </row>
    <row r="81" spans="1:12" x14ac:dyDescent="0.25">
      <c r="A81" t="s">
        <v>99</v>
      </c>
      <c r="B81" t="s">
        <v>26</v>
      </c>
      <c r="C81" s="10">
        <v>45680</v>
      </c>
      <c r="D81" s="18" t="str">
        <f t="shared" si="3"/>
        <v>January</v>
      </c>
      <c r="E81" s="11" t="str">
        <f t="shared" si="4"/>
        <v>2025</v>
      </c>
      <c r="F81" t="s">
        <v>18</v>
      </c>
      <c r="G81" s="2">
        <v>36161</v>
      </c>
      <c r="H81" s="2">
        <v>22731</v>
      </c>
      <c r="I81" s="2">
        <v>1346</v>
      </c>
      <c r="J81" s="2">
        <v>473</v>
      </c>
      <c r="K81" s="2">
        <v>253</v>
      </c>
      <c r="L81" s="5">
        <f t="shared" si="5"/>
        <v>9.1153050899652463E-2</v>
      </c>
    </row>
    <row r="82" spans="1:12" x14ac:dyDescent="0.25">
      <c r="A82" t="s">
        <v>100</v>
      </c>
      <c r="B82" t="s">
        <v>17</v>
      </c>
      <c r="C82" s="10">
        <v>45308</v>
      </c>
      <c r="D82" s="18" t="str">
        <f t="shared" si="3"/>
        <v>January</v>
      </c>
      <c r="E82" s="11" t="str">
        <f t="shared" si="4"/>
        <v>2024</v>
      </c>
      <c r="F82" t="s">
        <v>18</v>
      </c>
      <c r="G82" s="2">
        <v>70967</v>
      </c>
      <c r="H82" s="2">
        <v>61447</v>
      </c>
      <c r="I82" s="2">
        <v>1623</v>
      </c>
      <c r="J82" s="2">
        <v>138</v>
      </c>
      <c r="K82" s="2">
        <v>1036</v>
      </c>
      <c r="L82" s="5">
        <f t="shared" si="5"/>
        <v>4.5518902468794246E-2</v>
      </c>
    </row>
    <row r="83" spans="1:12" x14ac:dyDescent="0.25">
      <c r="A83" t="s">
        <v>101</v>
      </c>
      <c r="B83" t="s">
        <v>11</v>
      </c>
      <c r="C83" s="10">
        <v>45740</v>
      </c>
      <c r="D83" s="18" t="str">
        <f t="shared" si="3"/>
        <v>March</v>
      </c>
      <c r="E83" s="11" t="str">
        <f t="shared" si="4"/>
        <v>2025</v>
      </c>
      <c r="F83" t="s">
        <v>15</v>
      </c>
      <c r="G83" s="2">
        <v>21460</v>
      </c>
      <c r="H83" s="2">
        <v>12765</v>
      </c>
      <c r="I83" s="2">
        <v>573</v>
      </c>
      <c r="J83" s="2">
        <v>242</v>
      </c>
      <c r="K83" s="2">
        <v>64</v>
      </c>
      <c r="L83" s="5">
        <f t="shared" si="5"/>
        <v>6.8860164512338423E-2</v>
      </c>
    </row>
    <row r="84" spans="1:12" x14ac:dyDescent="0.25">
      <c r="A84" t="s">
        <v>102</v>
      </c>
      <c r="B84" t="s">
        <v>11</v>
      </c>
      <c r="C84" s="10">
        <v>45713</v>
      </c>
      <c r="D84" s="18" t="str">
        <f t="shared" si="3"/>
        <v>February</v>
      </c>
      <c r="E84" s="11" t="str">
        <f t="shared" si="4"/>
        <v>2025</v>
      </c>
      <c r="F84" t="s">
        <v>18</v>
      </c>
      <c r="G84" s="2">
        <v>50767</v>
      </c>
      <c r="H84" s="2">
        <v>17586</v>
      </c>
      <c r="I84" s="2">
        <v>337</v>
      </c>
      <c r="J84" s="2">
        <v>281</v>
      </c>
      <c r="K84" s="2">
        <v>435</v>
      </c>
      <c r="L84" s="5">
        <f t="shared" si="5"/>
        <v>5.9877175025588536E-2</v>
      </c>
    </row>
    <row r="85" spans="1:12" x14ac:dyDescent="0.25">
      <c r="A85" t="s">
        <v>103</v>
      </c>
      <c r="B85" t="s">
        <v>26</v>
      </c>
      <c r="C85" s="10">
        <v>45523</v>
      </c>
      <c r="D85" s="18" t="str">
        <f t="shared" si="3"/>
        <v>August</v>
      </c>
      <c r="E85" s="11" t="str">
        <f t="shared" si="4"/>
        <v>2024</v>
      </c>
      <c r="F85" t="s">
        <v>32</v>
      </c>
      <c r="G85" s="2">
        <v>9624</v>
      </c>
      <c r="H85" s="2">
        <v>6496</v>
      </c>
      <c r="I85" s="2">
        <v>165</v>
      </c>
      <c r="J85" s="2">
        <v>56</v>
      </c>
      <c r="K85" s="2">
        <v>58</v>
      </c>
      <c r="L85" s="5">
        <f t="shared" si="5"/>
        <v>4.2949507389162561E-2</v>
      </c>
    </row>
    <row r="86" spans="1:12" x14ac:dyDescent="0.25">
      <c r="A86" t="s">
        <v>104</v>
      </c>
      <c r="B86" t="s">
        <v>17</v>
      </c>
      <c r="C86" s="10">
        <v>45635</v>
      </c>
      <c r="D86" s="18" t="str">
        <f t="shared" si="3"/>
        <v>December</v>
      </c>
      <c r="E86" s="11" t="str">
        <f t="shared" si="4"/>
        <v>2024</v>
      </c>
      <c r="F86" t="s">
        <v>18</v>
      </c>
      <c r="G86" s="2">
        <v>50240</v>
      </c>
      <c r="H86" s="2">
        <v>38491</v>
      </c>
      <c r="I86" s="2">
        <v>836</v>
      </c>
      <c r="J86" s="2">
        <v>168</v>
      </c>
      <c r="K86" s="2">
        <v>463</v>
      </c>
      <c r="L86" s="5">
        <f t="shared" si="5"/>
        <v>3.8112805590917356E-2</v>
      </c>
    </row>
    <row r="87" spans="1:12" x14ac:dyDescent="0.25">
      <c r="A87" t="s">
        <v>105</v>
      </c>
      <c r="B87" t="s">
        <v>14</v>
      </c>
      <c r="C87" s="10">
        <v>45450</v>
      </c>
      <c r="D87" s="18" t="str">
        <f t="shared" si="3"/>
        <v>June</v>
      </c>
      <c r="E87" s="11" t="str">
        <f t="shared" si="4"/>
        <v>2024</v>
      </c>
      <c r="F87" t="s">
        <v>15</v>
      </c>
      <c r="G87" s="2">
        <v>17356</v>
      </c>
      <c r="H87" s="2">
        <v>10644</v>
      </c>
      <c r="I87" s="2">
        <v>477</v>
      </c>
      <c r="J87" s="2">
        <v>126</v>
      </c>
      <c r="K87" s="2">
        <v>65</v>
      </c>
      <c r="L87" s="5">
        <f t="shared" si="5"/>
        <v>6.2758361518226224E-2</v>
      </c>
    </row>
    <row r="88" spans="1:12" x14ac:dyDescent="0.25">
      <c r="A88" t="s">
        <v>106</v>
      </c>
      <c r="B88" t="s">
        <v>26</v>
      </c>
      <c r="C88" s="10">
        <v>45524</v>
      </c>
      <c r="D88" s="18" t="str">
        <f t="shared" si="3"/>
        <v>August</v>
      </c>
      <c r="E88" s="11" t="str">
        <f t="shared" si="4"/>
        <v>2024</v>
      </c>
      <c r="F88" t="s">
        <v>12</v>
      </c>
      <c r="G88" s="2">
        <v>5440</v>
      </c>
      <c r="H88" s="2">
        <v>4035</v>
      </c>
      <c r="I88" s="2">
        <v>103</v>
      </c>
      <c r="J88" s="2">
        <v>98</v>
      </c>
      <c r="K88" s="2">
        <v>34</v>
      </c>
      <c r="L88" s="5">
        <f t="shared" si="5"/>
        <v>5.8240396530359353E-2</v>
      </c>
    </row>
    <row r="89" spans="1:12" x14ac:dyDescent="0.25">
      <c r="A89" t="s">
        <v>107</v>
      </c>
      <c r="B89" t="s">
        <v>14</v>
      </c>
      <c r="C89" s="10">
        <v>45379</v>
      </c>
      <c r="D89" s="18" t="str">
        <f t="shared" si="3"/>
        <v>March</v>
      </c>
      <c r="E89" s="11" t="str">
        <f t="shared" si="4"/>
        <v>2024</v>
      </c>
      <c r="F89" t="s">
        <v>32</v>
      </c>
      <c r="G89" s="2">
        <v>68920</v>
      </c>
      <c r="H89" s="2">
        <v>34748</v>
      </c>
      <c r="I89" s="2">
        <v>2339</v>
      </c>
      <c r="J89" s="2">
        <v>434</v>
      </c>
      <c r="K89" s="2">
        <v>36</v>
      </c>
      <c r="L89" s="5">
        <f t="shared" si="5"/>
        <v>8.0839184989064117E-2</v>
      </c>
    </row>
    <row r="90" spans="1:12" x14ac:dyDescent="0.25">
      <c r="A90" t="s">
        <v>108</v>
      </c>
      <c r="B90" t="s">
        <v>26</v>
      </c>
      <c r="C90" s="10">
        <v>45517</v>
      </c>
      <c r="D90" s="18" t="str">
        <f t="shared" si="3"/>
        <v>August</v>
      </c>
      <c r="E90" s="11" t="str">
        <f t="shared" si="4"/>
        <v>2024</v>
      </c>
      <c r="F90" t="s">
        <v>12</v>
      </c>
      <c r="G90" s="2">
        <v>19972</v>
      </c>
      <c r="H90" s="2">
        <v>13031</v>
      </c>
      <c r="I90" s="2">
        <v>383</v>
      </c>
      <c r="J90" s="2">
        <v>276</v>
      </c>
      <c r="K90" s="2">
        <v>135</v>
      </c>
      <c r="L90" s="5">
        <f t="shared" si="5"/>
        <v>6.0931624587522062E-2</v>
      </c>
    </row>
    <row r="91" spans="1:12" x14ac:dyDescent="0.25">
      <c r="A91" t="s">
        <v>109</v>
      </c>
      <c r="B91" t="s">
        <v>20</v>
      </c>
      <c r="C91" s="10">
        <v>45438</v>
      </c>
      <c r="D91" s="18" t="str">
        <f t="shared" si="3"/>
        <v>May</v>
      </c>
      <c r="E91" s="11" t="str">
        <f t="shared" si="4"/>
        <v>2024</v>
      </c>
      <c r="F91" t="s">
        <v>18</v>
      </c>
      <c r="G91" s="2">
        <v>108139</v>
      </c>
      <c r="H91" s="2">
        <v>43173</v>
      </c>
      <c r="I91" s="2">
        <v>3561</v>
      </c>
      <c r="J91" s="2">
        <v>848</v>
      </c>
      <c r="K91" s="2">
        <v>1411</v>
      </c>
      <c r="L91" s="5">
        <f t="shared" si="5"/>
        <v>0.1348064762698909</v>
      </c>
    </row>
    <row r="92" spans="1:12" x14ac:dyDescent="0.25">
      <c r="A92" t="s">
        <v>110</v>
      </c>
      <c r="B92" t="s">
        <v>17</v>
      </c>
      <c r="C92" s="10">
        <v>45584</v>
      </c>
      <c r="D92" s="18" t="str">
        <f t="shared" si="3"/>
        <v>October</v>
      </c>
      <c r="E92" s="11" t="str">
        <f t="shared" si="4"/>
        <v>2024</v>
      </c>
      <c r="F92" t="s">
        <v>15</v>
      </c>
      <c r="G92" s="2">
        <v>22108</v>
      </c>
      <c r="H92" s="2">
        <v>18514</v>
      </c>
      <c r="I92" s="2">
        <v>138</v>
      </c>
      <c r="J92" s="2">
        <v>80</v>
      </c>
      <c r="K92" s="2">
        <v>329</v>
      </c>
      <c r="L92" s="5">
        <f t="shared" si="5"/>
        <v>2.9545209031003564E-2</v>
      </c>
    </row>
    <row r="93" spans="1:12" x14ac:dyDescent="0.25">
      <c r="A93" t="s">
        <v>111</v>
      </c>
      <c r="B93" t="s">
        <v>11</v>
      </c>
      <c r="C93" s="10">
        <v>45459</v>
      </c>
      <c r="D93" s="18" t="str">
        <f t="shared" si="3"/>
        <v>June</v>
      </c>
      <c r="E93" s="11" t="str">
        <f t="shared" si="4"/>
        <v>2024</v>
      </c>
      <c r="F93" t="s">
        <v>12</v>
      </c>
      <c r="G93" s="2">
        <v>16372</v>
      </c>
      <c r="H93" s="2">
        <v>9996</v>
      </c>
      <c r="I93" s="2">
        <v>372</v>
      </c>
      <c r="J93" s="2">
        <v>58</v>
      </c>
      <c r="K93" s="2">
        <v>61</v>
      </c>
      <c r="L93" s="5">
        <f t="shared" si="5"/>
        <v>4.9119647859143654E-2</v>
      </c>
    </row>
    <row r="94" spans="1:12" x14ac:dyDescent="0.25">
      <c r="A94" t="s">
        <v>112</v>
      </c>
      <c r="B94" t="s">
        <v>14</v>
      </c>
      <c r="C94" s="10">
        <v>45806</v>
      </c>
      <c r="D94" s="18" t="str">
        <f t="shared" si="3"/>
        <v>May</v>
      </c>
      <c r="E94" s="11" t="str">
        <f t="shared" si="4"/>
        <v>2025</v>
      </c>
      <c r="F94" t="s">
        <v>18</v>
      </c>
      <c r="G94" s="2">
        <v>108397</v>
      </c>
      <c r="H94" s="2">
        <v>45181</v>
      </c>
      <c r="I94" s="2">
        <v>2296</v>
      </c>
      <c r="J94" s="2">
        <v>626</v>
      </c>
      <c r="K94" s="2">
        <v>421</v>
      </c>
      <c r="L94" s="5">
        <f t="shared" si="5"/>
        <v>7.3991279520152275E-2</v>
      </c>
    </row>
    <row r="95" spans="1:12" x14ac:dyDescent="0.25">
      <c r="A95" t="s">
        <v>113</v>
      </c>
      <c r="B95" t="s">
        <v>26</v>
      </c>
      <c r="C95" s="10">
        <v>45548</v>
      </c>
      <c r="D95" s="18" t="str">
        <f t="shared" si="3"/>
        <v>September</v>
      </c>
      <c r="E95" s="11" t="str">
        <f t="shared" si="4"/>
        <v>2024</v>
      </c>
      <c r="F95" t="s">
        <v>15</v>
      </c>
      <c r="G95" s="2">
        <v>16567</v>
      </c>
      <c r="H95" s="2">
        <v>12618</v>
      </c>
      <c r="I95" s="2">
        <v>349</v>
      </c>
      <c r="J95" s="2">
        <v>104</v>
      </c>
      <c r="K95" s="2">
        <v>139</v>
      </c>
      <c r="L95" s="5">
        <f t="shared" si="5"/>
        <v>4.6917102551909971E-2</v>
      </c>
    </row>
    <row r="96" spans="1:12" x14ac:dyDescent="0.25">
      <c r="A96" t="s">
        <v>114</v>
      </c>
      <c r="B96" t="s">
        <v>20</v>
      </c>
      <c r="C96" s="10">
        <v>45563</v>
      </c>
      <c r="D96" s="18" t="str">
        <f t="shared" si="3"/>
        <v>September</v>
      </c>
      <c r="E96" s="11" t="str">
        <f t="shared" si="4"/>
        <v>2024</v>
      </c>
      <c r="F96" t="s">
        <v>24</v>
      </c>
      <c r="G96" s="2">
        <v>96621</v>
      </c>
      <c r="H96" s="2">
        <v>45052</v>
      </c>
      <c r="I96" s="2">
        <v>4307</v>
      </c>
      <c r="J96" s="2">
        <v>1057</v>
      </c>
      <c r="K96" s="2">
        <v>849</v>
      </c>
      <c r="L96" s="5">
        <f t="shared" si="5"/>
        <v>0.13790730711178195</v>
      </c>
    </row>
    <row r="97" spans="1:12" x14ac:dyDescent="0.25">
      <c r="A97" t="s">
        <v>115</v>
      </c>
      <c r="B97" t="s">
        <v>20</v>
      </c>
      <c r="C97" s="10">
        <v>45358</v>
      </c>
      <c r="D97" s="18" t="str">
        <f t="shared" si="3"/>
        <v>March</v>
      </c>
      <c r="E97" s="11" t="str">
        <f t="shared" si="4"/>
        <v>2024</v>
      </c>
      <c r="F97" t="s">
        <v>18</v>
      </c>
      <c r="G97" s="2">
        <v>296961</v>
      </c>
      <c r="H97" s="2">
        <v>112674</v>
      </c>
      <c r="I97" s="2">
        <v>12300</v>
      </c>
      <c r="J97" s="2">
        <v>3354</v>
      </c>
      <c r="K97" s="2">
        <v>3770</v>
      </c>
      <c r="L97" s="5">
        <f t="shared" si="5"/>
        <v>0.17239114613841702</v>
      </c>
    </row>
    <row r="98" spans="1:12" x14ac:dyDescent="0.25">
      <c r="A98" t="s">
        <v>116</v>
      </c>
      <c r="B98" t="s">
        <v>20</v>
      </c>
      <c r="C98" s="10">
        <v>45844</v>
      </c>
      <c r="D98" s="18" t="str">
        <f t="shared" si="3"/>
        <v>July</v>
      </c>
      <c r="E98" s="11" t="str">
        <f t="shared" si="4"/>
        <v>2025</v>
      </c>
      <c r="F98" t="s">
        <v>18</v>
      </c>
      <c r="G98" s="2">
        <v>119866</v>
      </c>
      <c r="H98" s="2">
        <v>69857</v>
      </c>
      <c r="I98" s="2">
        <v>6445</v>
      </c>
      <c r="J98" s="2">
        <v>892</v>
      </c>
      <c r="K98" s="2">
        <v>919</v>
      </c>
      <c r="L98" s="5">
        <f t="shared" si="5"/>
        <v>0.11818429076542079</v>
      </c>
    </row>
    <row r="99" spans="1:12" x14ac:dyDescent="0.25">
      <c r="A99" t="s">
        <v>117</v>
      </c>
      <c r="B99" t="s">
        <v>14</v>
      </c>
      <c r="C99" s="10">
        <v>45615</v>
      </c>
      <c r="D99" s="18" t="str">
        <f t="shared" si="3"/>
        <v>November</v>
      </c>
      <c r="E99" s="11" t="str">
        <f t="shared" si="4"/>
        <v>2024</v>
      </c>
      <c r="F99" t="s">
        <v>15</v>
      </c>
      <c r="G99" s="2">
        <v>33648</v>
      </c>
      <c r="H99" s="2">
        <v>13791</v>
      </c>
      <c r="I99" s="2">
        <v>1062</v>
      </c>
      <c r="J99" s="2">
        <v>30</v>
      </c>
      <c r="K99" s="2">
        <v>110</v>
      </c>
      <c r="L99" s="5">
        <f t="shared" si="5"/>
        <v>8.7158291639475013E-2</v>
      </c>
    </row>
    <row r="100" spans="1:12" x14ac:dyDescent="0.25">
      <c r="A100" t="s">
        <v>118</v>
      </c>
      <c r="B100" t="s">
        <v>14</v>
      </c>
      <c r="C100" s="10">
        <v>45637</v>
      </c>
      <c r="D100" s="18" t="str">
        <f t="shared" si="3"/>
        <v>December</v>
      </c>
      <c r="E100" s="11" t="str">
        <f t="shared" si="4"/>
        <v>2024</v>
      </c>
      <c r="F100" t="s">
        <v>18</v>
      </c>
      <c r="G100" s="2">
        <v>77225</v>
      </c>
      <c r="H100" s="2">
        <v>48408</v>
      </c>
      <c r="I100" s="2">
        <v>1691</v>
      </c>
      <c r="J100" s="2">
        <v>561</v>
      </c>
      <c r="K100" s="2">
        <v>407</v>
      </c>
      <c r="L100" s="5">
        <f t="shared" si="5"/>
        <v>5.4928937365724677E-2</v>
      </c>
    </row>
    <row r="101" spans="1:12" x14ac:dyDescent="0.25">
      <c r="A101" t="s">
        <v>119</v>
      </c>
      <c r="B101" t="s">
        <v>17</v>
      </c>
      <c r="C101" s="10">
        <v>45309</v>
      </c>
      <c r="D101" s="18" t="str">
        <f t="shared" si="3"/>
        <v>January</v>
      </c>
      <c r="E101" s="11" t="str">
        <f t="shared" si="4"/>
        <v>2024</v>
      </c>
      <c r="F101" t="s">
        <v>15</v>
      </c>
      <c r="G101" s="2">
        <v>730</v>
      </c>
      <c r="H101" s="2">
        <v>373</v>
      </c>
      <c r="I101" s="2">
        <v>10</v>
      </c>
      <c r="J101" s="2">
        <v>1</v>
      </c>
      <c r="K101" s="2">
        <v>6</v>
      </c>
      <c r="L101" s="5">
        <f t="shared" si="5"/>
        <v>4.5576407506702415E-2</v>
      </c>
    </row>
    <row r="102" spans="1:12" x14ac:dyDescent="0.25">
      <c r="A102" t="s">
        <v>120</v>
      </c>
      <c r="B102" t="s">
        <v>20</v>
      </c>
      <c r="C102" s="10">
        <v>45538</v>
      </c>
      <c r="D102" s="18" t="str">
        <f t="shared" si="3"/>
        <v>September</v>
      </c>
      <c r="E102" s="11" t="str">
        <f t="shared" si="4"/>
        <v>2024</v>
      </c>
      <c r="F102" t="s">
        <v>18</v>
      </c>
      <c r="G102" s="2">
        <v>302206</v>
      </c>
      <c r="H102" s="2">
        <v>106795</v>
      </c>
      <c r="I102" s="2">
        <v>4379</v>
      </c>
      <c r="J102" s="2">
        <v>816</v>
      </c>
      <c r="K102" s="2">
        <v>3171</v>
      </c>
      <c r="L102" s="5">
        <f t="shared" si="5"/>
        <v>7.8337000795917405E-2</v>
      </c>
    </row>
    <row r="103" spans="1:12" x14ac:dyDescent="0.25">
      <c r="A103" t="s">
        <v>121</v>
      </c>
      <c r="B103" t="s">
        <v>20</v>
      </c>
      <c r="C103" s="10">
        <v>45768</v>
      </c>
      <c r="D103" s="18" t="str">
        <f t="shared" si="3"/>
        <v>April</v>
      </c>
      <c r="E103" s="11" t="str">
        <f t="shared" si="4"/>
        <v>2025</v>
      </c>
      <c r="F103" t="s">
        <v>18</v>
      </c>
      <c r="G103" s="2">
        <v>543651</v>
      </c>
      <c r="H103" s="2">
        <v>205850</v>
      </c>
      <c r="I103" s="2">
        <v>6711</v>
      </c>
      <c r="J103" s="2">
        <v>4743</v>
      </c>
      <c r="K103" s="2">
        <v>10070</v>
      </c>
      <c r="L103" s="5">
        <f t="shared" si="5"/>
        <v>0.10456157396162254</v>
      </c>
    </row>
    <row r="104" spans="1:12" x14ac:dyDescent="0.25">
      <c r="A104" t="s">
        <v>122</v>
      </c>
      <c r="B104" t="s">
        <v>26</v>
      </c>
      <c r="C104" s="10">
        <v>45838</v>
      </c>
      <c r="D104" s="18" t="str">
        <f t="shared" si="3"/>
        <v>June</v>
      </c>
      <c r="E104" s="11" t="str">
        <f t="shared" si="4"/>
        <v>2025</v>
      </c>
      <c r="F104" t="s">
        <v>15</v>
      </c>
      <c r="G104" s="2">
        <v>11879</v>
      </c>
      <c r="H104" s="2">
        <v>5122</v>
      </c>
      <c r="I104" s="2">
        <v>249</v>
      </c>
      <c r="J104" s="2">
        <v>90</v>
      </c>
      <c r="K104" s="2">
        <v>30</v>
      </c>
      <c r="L104" s="5">
        <f t="shared" si="5"/>
        <v>7.2042171026942603E-2</v>
      </c>
    </row>
    <row r="105" spans="1:12" x14ac:dyDescent="0.25">
      <c r="A105" t="s">
        <v>123</v>
      </c>
      <c r="B105" t="s">
        <v>14</v>
      </c>
      <c r="C105" s="10">
        <v>46002</v>
      </c>
      <c r="D105" s="18" t="str">
        <f t="shared" si="3"/>
        <v>December</v>
      </c>
      <c r="E105" s="11" t="str">
        <f t="shared" si="4"/>
        <v>2025</v>
      </c>
      <c r="F105" t="s">
        <v>18</v>
      </c>
      <c r="G105" s="2">
        <v>42983</v>
      </c>
      <c r="H105" s="2">
        <v>19797</v>
      </c>
      <c r="I105" s="2">
        <v>673</v>
      </c>
      <c r="J105" s="2">
        <v>154</v>
      </c>
      <c r="K105" s="2">
        <v>68</v>
      </c>
      <c r="L105" s="5">
        <f t="shared" si="5"/>
        <v>4.5208870030812746E-2</v>
      </c>
    </row>
    <row r="106" spans="1:12" x14ac:dyDescent="0.25">
      <c r="A106" t="s">
        <v>124</v>
      </c>
      <c r="B106" t="s">
        <v>26</v>
      </c>
      <c r="C106" s="10">
        <v>45860</v>
      </c>
      <c r="D106" s="18" t="str">
        <f t="shared" si="3"/>
        <v>July</v>
      </c>
      <c r="E106" s="11" t="str">
        <f t="shared" si="4"/>
        <v>2025</v>
      </c>
      <c r="F106" t="s">
        <v>18</v>
      </c>
      <c r="G106" s="2">
        <v>5423</v>
      </c>
      <c r="H106" s="2">
        <v>3771</v>
      </c>
      <c r="I106" s="2">
        <v>221</v>
      </c>
      <c r="J106" s="2">
        <v>71</v>
      </c>
      <c r="K106" s="2">
        <v>53</v>
      </c>
      <c r="L106" s="5">
        <f t="shared" si="5"/>
        <v>9.148766905330151E-2</v>
      </c>
    </row>
    <row r="107" spans="1:12" x14ac:dyDescent="0.25">
      <c r="A107" t="s">
        <v>125</v>
      </c>
      <c r="B107" t="s">
        <v>14</v>
      </c>
      <c r="C107" s="10">
        <v>45333</v>
      </c>
      <c r="D107" s="18" t="str">
        <f t="shared" si="3"/>
        <v>February</v>
      </c>
      <c r="E107" s="11" t="str">
        <f t="shared" si="4"/>
        <v>2024</v>
      </c>
      <c r="F107" t="s">
        <v>15</v>
      </c>
      <c r="G107" s="2">
        <v>27596</v>
      </c>
      <c r="H107" s="2">
        <v>16651</v>
      </c>
      <c r="I107" s="2">
        <v>1185</v>
      </c>
      <c r="J107" s="2">
        <v>71</v>
      </c>
      <c r="K107" s="2">
        <v>90</v>
      </c>
      <c r="L107" s="5">
        <f t="shared" si="5"/>
        <v>8.0835985826677073E-2</v>
      </c>
    </row>
    <row r="108" spans="1:12" x14ac:dyDescent="0.25">
      <c r="A108" t="s">
        <v>126</v>
      </c>
      <c r="B108" t="s">
        <v>20</v>
      </c>
      <c r="C108" s="10">
        <v>45627</v>
      </c>
      <c r="D108" s="18" t="str">
        <f t="shared" si="3"/>
        <v>December</v>
      </c>
      <c r="E108" s="11" t="str">
        <f t="shared" si="4"/>
        <v>2024</v>
      </c>
      <c r="F108" t="s">
        <v>18</v>
      </c>
      <c r="G108" s="2">
        <v>175808</v>
      </c>
      <c r="H108" s="2">
        <v>61551</v>
      </c>
      <c r="I108" s="2">
        <v>3980</v>
      </c>
      <c r="J108" s="2">
        <v>950</v>
      </c>
      <c r="K108" s="2">
        <v>2381</v>
      </c>
      <c r="L108" s="5">
        <f t="shared" si="5"/>
        <v>0.11877954866695911</v>
      </c>
    </row>
    <row r="109" spans="1:12" x14ac:dyDescent="0.25">
      <c r="A109" t="s">
        <v>127</v>
      </c>
      <c r="B109" t="s">
        <v>14</v>
      </c>
      <c r="C109" s="10">
        <v>45677</v>
      </c>
      <c r="D109" s="18" t="str">
        <f t="shared" si="3"/>
        <v>January</v>
      </c>
      <c r="E109" s="11" t="str">
        <f t="shared" si="4"/>
        <v>2025</v>
      </c>
      <c r="F109" t="s">
        <v>24</v>
      </c>
      <c r="G109" s="2">
        <v>49085</v>
      </c>
      <c r="H109" s="2">
        <v>21307</v>
      </c>
      <c r="I109" s="2">
        <v>817</v>
      </c>
      <c r="J109" s="2">
        <v>259</v>
      </c>
      <c r="K109" s="2">
        <v>178</v>
      </c>
      <c r="L109" s="5">
        <f t="shared" si="5"/>
        <v>5.885389778007228E-2</v>
      </c>
    </row>
    <row r="110" spans="1:12" x14ac:dyDescent="0.25">
      <c r="A110" t="s">
        <v>128</v>
      </c>
      <c r="B110" t="s">
        <v>14</v>
      </c>
      <c r="C110" s="10">
        <v>45919</v>
      </c>
      <c r="D110" s="18" t="str">
        <f t="shared" si="3"/>
        <v>September</v>
      </c>
      <c r="E110" s="11" t="str">
        <f t="shared" si="4"/>
        <v>2025</v>
      </c>
      <c r="F110" t="s">
        <v>18</v>
      </c>
      <c r="G110" s="2">
        <v>32982</v>
      </c>
      <c r="H110" s="2">
        <v>18147</v>
      </c>
      <c r="I110" s="2">
        <v>1001</v>
      </c>
      <c r="J110" s="2">
        <v>187</v>
      </c>
      <c r="K110" s="2">
        <v>159</v>
      </c>
      <c r="L110" s="5">
        <f t="shared" si="5"/>
        <v>7.4227144982641755E-2</v>
      </c>
    </row>
    <row r="111" spans="1:12" x14ac:dyDescent="0.25">
      <c r="A111" t="s">
        <v>129</v>
      </c>
      <c r="B111" t="s">
        <v>14</v>
      </c>
      <c r="C111" s="10">
        <v>45524</v>
      </c>
      <c r="D111" s="18" t="str">
        <f t="shared" si="3"/>
        <v>August</v>
      </c>
      <c r="E111" s="11" t="str">
        <f t="shared" si="4"/>
        <v>2024</v>
      </c>
      <c r="F111" t="s">
        <v>24</v>
      </c>
      <c r="G111" s="2">
        <v>36143</v>
      </c>
      <c r="H111" s="2">
        <v>17997</v>
      </c>
      <c r="I111" s="2">
        <v>645</v>
      </c>
      <c r="J111" s="2">
        <v>44</v>
      </c>
      <c r="K111" s="2">
        <v>131</v>
      </c>
      <c r="L111" s="5">
        <f t="shared" si="5"/>
        <v>4.5563149413791186E-2</v>
      </c>
    </row>
    <row r="112" spans="1:12" x14ac:dyDescent="0.25">
      <c r="A112" t="s">
        <v>130</v>
      </c>
      <c r="B112" t="s">
        <v>11</v>
      </c>
      <c r="C112" s="10">
        <v>45755</v>
      </c>
      <c r="D112" s="18" t="str">
        <f t="shared" si="3"/>
        <v>April</v>
      </c>
      <c r="E112" s="11" t="str">
        <f t="shared" si="4"/>
        <v>2025</v>
      </c>
      <c r="F112" t="s">
        <v>32</v>
      </c>
      <c r="G112" s="2">
        <v>26260</v>
      </c>
      <c r="H112" s="2">
        <v>17369</v>
      </c>
      <c r="I112" s="2">
        <v>250</v>
      </c>
      <c r="J112" s="2">
        <v>343</v>
      </c>
      <c r="K112" s="2">
        <v>159</v>
      </c>
      <c r="L112" s="5">
        <f t="shared" si="5"/>
        <v>4.3295526512752605E-2</v>
      </c>
    </row>
    <row r="113" spans="1:12" x14ac:dyDescent="0.25">
      <c r="A113" t="s">
        <v>131</v>
      </c>
      <c r="B113" t="s">
        <v>20</v>
      </c>
      <c r="C113" s="10">
        <v>45917</v>
      </c>
      <c r="D113" s="18" t="str">
        <f t="shared" si="3"/>
        <v>September</v>
      </c>
      <c r="E113" s="11" t="str">
        <f t="shared" si="4"/>
        <v>2025</v>
      </c>
      <c r="F113" t="s">
        <v>24</v>
      </c>
      <c r="G113" s="2">
        <v>380871</v>
      </c>
      <c r="H113" s="2">
        <v>249854</v>
      </c>
      <c r="I113" s="2">
        <v>26712</v>
      </c>
      <c r="J113" s="2">
        <v>4443</v>
      </c>
      <c r="K113" s="2">
        <v>10913</v>
      </c>
      <c r="L113" s="5">
        <f t="shared" si="5"/>
        <v>0.16837032827171067</v>
      </c>
    </row>
    <row r="114" spans="1:12" x14ac:dyDescent="0.25">
      <c r="A114" t="s">
        <v>132</v>
      </c>
      <c r="B114" t="s">
        <v>11</v>
      </c>
      <c r="C114" s="10">
        <v>45808</v>
      </c>
      <c r="D114" s="18" t="str">
        <f t="shared" si="3"/>
        <v>May</v>
      </c>
      <c r="E114" s="11" t="str">
        <f t="shared" si="4"/>
        <v>2025</v>
      </c>
      <c r="F114" t="s">
        <v>12</v>
      </c>
      <c r="G114" s="2">
        <v>8059</v>
      </c>
      <c r="H114" s="2">
        <v>5232</v>
      </c>
      <c r="I114" s="2">
        <v>140</v>
      </c>
      <c r="J114" s="2">
        <v>62</v>
      </c>
      <c r="K114" s="2">
        <v>132</v>
      </c>
      <c r="L114" s="5">
        <f t="shared" si="5"/>
        <v>6.3837920489296637E-2</v>
      </c>
    </row>
    <row r="115" spans="1:12" x14ac:dyDescent="0.25">
      <c r="A115" t="s">
        <v>133</v>
      </c>
      <c r="B115" t="s">
        <v>17</v>
      </c>
      <c r="C115" s="10">
        <v>45442</v>
      </c>
      <c r="D115" s="18" t="str">
        <f t="shared" si="3"/>
        <v>May</v>
      </c>
      <c r="E115" s="11" t="str">
        <f t="shared" si="4"/>
        <v>2024</v>
      </c>
      <c r="F115" t="s">
        <v>12</v>
      </c>
      <c r="G115" s="2">
        <v>5867</v>
      </c>
      <c r="H115" s="2">
        <v>4500</v>
      </c>
      <c r="I115" s="2">
        <v>57</v>
      </c>
      <c r="J115" s="2">
        <v>11</v>
      </c>
      <c r="K115" s="2">
        <v>73</v>
      </c>
      <c r="L115" s="5">
        <f t="shared" si="5"/>
        <v>3.1333333333333331E-2</v>
      </c>
    </row>
    <row r="116" spans="1:12" x14ac:dyDescent="0.25">
      <c r="A116" t="s">
        <v>134</v>
      </c>
      <c r="B116" t="s">
        <v>20</v>
      </c>
      <c r="C116" s="10">
        <v>45682</v>
      </c>
      <c r="D116" s="18" t="str">
        <f t="shared" si="3"/>
        <v>January</v>
      </c>
      <c r="E116" s="11" t="str">
        <f t="shared" si="4"/>
        <v>2025</v>
      </c>
      <c r="F116" t="s">
        <v>24</v>
      </c>
      <c r="G116" s="2">
        <v>257439</v>
      </c>
      <c r="H116" s="2">
        <v>156287</v>
      </c>
      <c r="I116" s="2">
        <v>17587</v>
      </c>
      <c r="J116" s="2">
        <v>3960</v>
      </c>
      <c r="K116" s="2">
        <v>1772</v>
      </c>
      <c r="L116" s="5">
        <f t="shared" si="5"/>
        <v>0.14920626795574807</v>
      </c>
    </row>
    <row r="117" spans="1:12" x14ac:dyDescent="0.25">
      <c r="A117" t="s">
        <v>135</v>
      </c>
      <c r="B117" t="s">
        <v>20</v>
      </c>
      <c r="C117" s="10">
        <v>45382</v>
      </c>
      <c r="D117" s="18" t="str">
        <f t="shared" si="3"/>
        <v>March</v>
      </c>
      <c r="E117" s="11" t="str">
        <f t="shared" si="4"/>
        <v>2024</v>
      </c>
      <c r="F117" t="s">
        <v>24</v>
      </c>
      <c r="G117" s="2">
        <v>280763</v>
      </c>
      <c r="H117" s="2">
        <v>124724</v>
      </c>
      <c r="I117" s="2">
        <v>6383</v>
      </c>
      <c r="J117" s="2">
        <v>1762</v>
      </c>
      <c r="K117" s="2">
        <v>3138</v>
      </c>
      <c r="L117" s="5">
        <f t="shared" si="5"/>
        <v>9.0463743946634173E-2</v>
      </c>
    </row>
    <row r="118" spans="1:12" x14ac:dyDescent="0.25">
      <c r="A118" t="s">
        <v>136</v>
      </c>
      <c r="B118" t="s">
        <v>17</v>
      </c>
      <c r="C118" s="10">
        <v>45901</v>
      </c>
      <c r="D118" s="18" t="str">
        <f t="shared" si="3"/>
        <v>September</v>
      </c>
      <c r="E118" s="11" t="str">
        <f t="shared" si="4"/>
        <v>2025</v>
      </c>
      <c r="F118" t="s">
        <v>18</v>
      </c>
      <c r="G118" s="2">
        <v>29237</v>
      </c>
      <c r="H118" s="2">
        <v>21836</v>
      </c>
      <c r="I118" s="2">
        <v>581</v>
      </c>
      <c r="J118" s="2">
        <v>110</v>
      </c>
      <c r="K118" s="2">
        <v>190</v>
      </c>
      <c r="L118" s="5">
        <f t="shared" si="5"/>
        <v>4.0346217255907674E-2</v>
      </c>
    </row>
    <row r="119" spans="1:12" x14ac:dyDescent="0.25">
      <c r="A119" t="s">
        <v>137</v>
      </c>
      <c r="B119" t="s">
        <v>11</v>
      </c>
      <c r="C119" s="10">
        <v>45309</v>
      </c>
      <c r="D119" s="18" t="str">
        <f t="shared" si="3"/>
        <v>January</v>
      </c>
      <c r="E119" s="11" t="str">
        <f t="shared" si="4"/>
        <v>2024</v>
      </c>
      <c r="F119" t="s">
        <v>12</v>
      </c>
      <c r="G119" s="2">
        <v>7249</v>
      </c>
      <c r="H119" s="2">
        <v>4321</v>
      </c>
      <c r="I119" s="2">
        <v>145</v>
      </c>
      <c r="J119" s="2">
        <v>56</v>
      </c>
      <c r="K119" s="2">
        <v>95</v>
      </c>
      <c r="L119" s="5">
        <f t="shared" si="5"/>
        <v>6.8502661420967365E-2</v>
      </c>
    </row>
    <row r="120" spans="1:12" x14ac:dyDescent="0.25">
      <c r="A120" t="s">
        <v>138</v>
      </c>
      <c r="B120" t="s">
        <v>26</v>
      </c>
      <c r="C120" s="10">
        <v>45467</v>
      </c>
      <c r="D120" s="18" t="str">
        <f t="shared" si="3"/>
        <v>June</v>
      </c>
      <c r="E120" s="11" t="str">
        <f t="shared" si="4"/>
        <v>2024</v>
      </c>
      <c r="F120" t="s">
        <v>32</v>
      </c>
      <c r="G120" s="2">
        <v>424</v>
      </c>
      <c r="H120" s="2">
        <v>266</v>
      </c>
      <c r="I120" s="2">
        <v>11</v>
      </c>
      <c r="J120" s="2">
        <v>2</v>
      </c>
      <c r="K120" s="2">
        <v>3</v>
      </c>
      <c r="L120" s="5">
        <f t="shared" si="5"/>
        <v>6.0150375939849621E-2</v>
      </c>
    </row>
    <row r="121" spans="1:12" x14ac:dyDescent="0.25">
      <c r="A121" t="s">
        <v>139</v>
      </c>
      <c r="B121" t="s">
        <v>20</v>
      </c>
      <c r="C121" s="10">
        <v>45691</v>
      </c>
      <c r="D121" s="18" t="str">
        <f t="shared" si="3"/>
        <v>February</v>
      </c>
      <c r="E121" s="11" t="str">
        <f t="shared" si="4"/>
        <v>2025</v>
      </c>
      <c r="F121" t="s">
        <v>18</v>
      </c>
      <c r="G121" s="2">
        <v>291125</v>
      </c>
      <c r="H121" s="2">
        <v>91396</v>
      </c>
      <c r="I121" s="2">
        <v>4316</v>
      </c>
      <c r="J121" s="2">
        <v>1826</v>
      </c>
      <c r="K121" s="2">
        <v>1395</v>
      </c>
      <c r="L121" s="5">
        <f t="shared" si="5"/>
        <v>8.2465315768742609E-2</v>
      </c>
    </row>
    <row r="122" spans="1:12" x14ac:dyDescent="0.25">
      <c r="A122" t="s">
        <v>140</v>
      </c>
      <c r="B122" t="s">
        <v>11</v>
      </c>
      <c r="C122" s="10">
        <v>45366</v>
      </c>
      <c r="D122" s="18" t="str">
        <f t="shared" si="3"/>
        <v>March</v>
      </c>
      <c r="E122" s="11" t="str">
        <f t="shared" si="4"/>
        <v>2024</v>
      </c>
      <c r="F122" t="s">
        <v>15</v>
      </c>
      <c r="G122" s="2">
        <v>21641</v>
      </c>
      <c r="H122" s="2">
        <v>12865</v>
      </c>
      <c r="I122" s="2">
        <v>370</v>
      </c>
      <c r="J122" s="2">
        <v>188</v>
      </c>
      <c r="K122" s="2">
        <v>233</v>
      </c>
      <c r="L122" s="5">
        <f t="shared" si="5"/>
        <v>6.148464827050136E-2</v>
      </c>
    </row>
    <row r="123" spans="1:12" x14ac:dyDescent="0.25">
      <c r="A123" t="s">
        <v>141</v>
      </c>
      <c r="B123" t="s">
        <v>11</v>
      </c>
      <c r="C123" s="10">
        <v>45643</v>
      </c>
      <c r="D123" s="18" t="str">
        <f t="shared" si="3"/>
        <v>December</v>
      </c>
      <c r="E123" s="11" t="str">
        <f t="shared" si="4"/>
        <v>2024</v>
      </c>
      <c r="F123" t="s">
        <v>12</v>
      </c>
      <c r="G123" s="2">
        <v>20634</v>
      </c>
      <c r="H123" s="2">
        <v>13640</v>
      </c>
      <c r="I123" s="2">
        <v>631</v>
      </c>
      <c r="J123" s="2">
        <v>183</v>
      </c>
      <c r="K123" s="2">
        <v>195</v>
      </c>
      <c r="L123" s="5">
        <f t="shared" si="5"/>
        <v>7.3973607038123168E-2</v>
      </c>
    </row>
    <row r="124" spans="1:12" x14ac:dyDescent="0.25">
      <c r="A124" t="s">
        <v>142</v>
      </c>
      <c r="B124" t="s">
        <v>20</v>
      </c>
      <c r="C124" s="10">
        <v>45507</v>
      </c>
      <c r="D124" s="18" t="str">
        <f t="shared" si="3"/>
        <v>August</v>
      </c>
      <c r="E124" s="11" t="str">
        <f t="shared" si="4"/>
        <v>2024</v>
      </c>
      <c r="F124" t="s">
        <v>24</v>
      </c>
      <c r="G124" s="2">
        <v>75797</v>
      </c>
      <c r="H124" s="2">
        <v>46050</v>
      </c>
      <c r="I124" s="2">
        <v>5250</v>
      </c>
      <c r="J124" s="2">
        <v>887</v>
      </c>
      <c r="K124" s="2">
        <v>628</v>
      </c>
      <c r="L124" s="5">
        <f t="shared" si="5"/>
        <v>0.14690553745928339</v>
      </c>
    </row>
    <row r="125" spans="1:12" x14ac:dyDescent="0.25">
      <c r="A125" t="s">
        <v>143</v>
      </c>
      <c r="B125" t="s">
        <v>14</v>
      </c>
      <c r="C125" s="10">
        <v>45615</v>
      </c>
      <c r="D125" s="18" t="str">
        <f t="shared" si="3"/>
        <v>November</v>
      </c>
      <c r="E125" s="11" t="str">
        <f t="shared" si="4"/>
        <v>2024</v>
      </c>
      <c r="F125" t="s">
        <v>32</v>
      </c>
      <c r="G125" s="2">
        <v>68263</v>
      </c>
      <c r="H125" s="2">
        <v>30619</v>
      </c>
      <c r="I125" s="2">
        <v>1958</v>
      </c>
      <c r="J125" s="2">
        <v>353</v>
      </c>
      <c r="K125" s="2">
        <v>216</v>
      </c>
      <c r="L125" s="5">
        <f t="shared" si="5"/>
        <v>8.2530454946275186E-2</v>
      </c>
    </row>
    <row r="126" spans="1:12" x14ac:dyDescent="0.25">
      <c r="A126" t="s">
        <v>144</v>
      </c>
      <c r="B126" t="s">
        <v>17</v>
      </c>
      <c r="C126" s="10">
        <v>45358</v>
      </c>
      <c r="D126" s="18" t="str">
        <f t="shared" si="3"/>
        <v>March</v>
      </c>
      <c r="E126" s="11" t="str">
        <f t="shared" si="4"/>
        <v>2024</v>
      </c>
      <c r="F126" t="s">
        <v>15</v>
      </c>
      <c r="G126" s="2">
        <v>11209</v>
      </c>
      <c r="H126" s="2">
        <v>9067</v>
      </c>
      <c r="I126" s="2">
        <v>126</v>
      </c>
      <c r="J126" s="2">
        <v>19</v>
      </c>
      <c r="K126" s="2">
        <v>107</v>
      </c>
      <c r="L126" s="5">
        <f t="shared" si="5"/>
        <v>2.779309584206463E-2</v>
      </c>
    </row>
    <row r="127" spans="1:12" x14ac:dyDescent="0.25">
      <c r="A127" t="s">
        <v>145</v>
      </c>
      <c r="B127" t="s">
        <v>20</v>
      </c>
      <c r="C127" s="10">
        <v>45643</v>
      </c>
      <c r="D127" s="18" t="str">
        <f t="shared" si="3"/>
        <v>December</v>
      </c>
      <c r="E127" s="11" t="str">
        <f t="shared" si="4"/>
        <v>2024</v>
      </c>
      <c r="F127" t="s">
        <v>18</v>
      </c>
      <c r="G127" s="2">
        <v>23196</v>
      </c>
      <c r="H127" s="2">
        <v>7460</v>
      </c>
      <c r="I127" s="2">
        <v>333</v>
      </c>
      <c r="J127" s="2">
        <v>134</v>
      </c>
      <c r="K127" s="2">
        <v>295</v>
      </c>
      <c r="L127" s="5">
        <f t="shared" si="5"/>
        <v>0.10214477211796247</v>
      </c>
    </row>
    <row r="128" spans="1:12" x14ac:dyDescent="0.25">
      <c r="A128" t="s">
        <v>146</v>
      </c>
      <c r="B128" t="s">
        <v>14</v>
      </c>
      <c r="C128" s="10">
        <v>45633</v>
      </c>
      <c r="D128" s="18" t="str">
        <f t="shared" si="3"/>
        <v>December</v>
      </c>
      <c r="E128" s="11" t="str">
        <f t="shared" si="4"/>
        <v>2024</v>
      </c>
      <c r="F128" t="s">
        <v>24</v>
      </c>
      <c r="G128" s="2">
        <v>94201</v>
      </c>
      <c r="H128" s="2">
        <v>59848</v>
      </c>
      <c r="I128" s="2">
        <v>4419</v>
      </c>
      <c r="J128" s="2">
        <v>348</v>
      </c>
      <c r="K128" s="2">
        <v>219</v>
      </c>
      <c r="L128" s="5">
        <f t="shared" si="5"/>
        <v>8.3311054671835319E-2</v>
      </c>
    </row>
    <row r="129" spans="1:12" x14ac:dyDescent="0.25">
      <c r="A129" t="s">
        <v>147</v>
      </c>
      <c r="B129" t="s">
        <v>20</v>
      </c>
      <c r="C129" s="10">
        <v>45890</v>
      </c>
      <c r="D129" s="18" t="str">
        <f t="shared" si="3"/>
        <v>August</v>
      </c>
      <c r="E129" s="11" t="str">
        <f t="shared" si="4"/>
        <v>2025</v>
      </c>
      <c r="F129" t="s">
        <v>18</v>
      </c>
      <c r="G129" s="2">
        <v>367485</v>
      </c>
      <c r="H129" s="2">
        <v>118114</v>
      </c>
      <c r="I129" s="2">
        <v>13007</v>
      </c>
      <c r="J129" s="2">
        <v>2010</v>
      </c>
      <c r="K129" s="2">
        <v>5699</v>
      </c>
      <c r="L129" s="5">
        <f t="shared" si="5"/>
        <v>0.17538987757590124</v>
      </c>
    </row>
    <row r="130" spans="1:12" x14ac:dyDescent="0.25">
      <c r="A130" t="s">
        <v>148</v>
      </c>
      <c r="B130" t="s">
        <v>11</v>
      </c>
      <c r="C130" s="10">
        <v>45444</v>
      </c>
      <c r="D130" s="18" t="str">
        <f t="shared" si="3"/>
        <v>June</v>
      </c>
      <c r="E130" s="11" t="str">
        <f t="shared" si="4"/>
        <v>2024</v>
      </c>
      <c r="F130" t="s">
        <v>18</v>
      </c>
      <c r="G130" s="2">
        <v>29086</v>
      </c>
      <c r="H130" s="2">
        <v>14164</v>
      </c>
      <c r="I130" s="2">
        <v>381</v>
      </c>
      <c r="J130" s="2">
        <v>114</v>
      </c>
      <c r="K130" s="2">
        <v>211</v>
      </c>
      <c r="L130" s="5">
        <f t="shared" si="5"/>
        <v>4.9844676645015532E-2</v>
      </c>
    </row>
    <row r="131" spans="1:12" x14ac:dyDescent="0.25">
      <c r="A131" t="s">
        <v>149</v>
      </c>
      <c r="B131" t="s">
        <v>20</v>
      </c>
      <c r="C131" s="10">
        <v>45830</v>
      </c>
      <c r="D131" s="18" t="str">
        <f t="shared" ref="D131:D194" si="6">TEXT($C131,"MMMM")</f>
        <v>June</v>
      </c>
      <c r="E131" s="11" t="str">
        <f t="shared" ref="E131:E194" si="7">TEXT(C131,"yyyy")</f>
        <v>2025</v>
      </c>
      <c r="F131" t="s">
        <v>24</v>
      </c>
      <c r="G131" s="2">
        <v>340086</v>
      </c>
      <c r="H131" s="2">
        <v>198003</v>
      </c>
      <c r="I131" s="2">
        <v>13799</v>
      </c>
      <c r="J131" s="2">
        <v>1575</v>
      </c>
      <c r="K131" s="2">
        <v>5883</v>
      </c>
      <c r="L131" s="5">
        <f t="shared" ref="L131:L194" si="8">SUM(I131:K131)/H131</f>
        <v>0.10735695923799134</v>
      </c>
    </row>
    <row r="132" spans="1:12" x14ac:dyDescent="0.25">
      <c r="A132" t="s">
        <v>150</v>
      </c>
      <c r="B132" t="s">
        <v>26</v>
      </c>
      <c r="C132" s="10">
        <v>45542</v>
      </c>
      <c r="D132" s="18" t="str">
        <f t="shared" si="6"/>
        <v>September</v>
      </c>
      <c r="E132" s="11" t="str">
        <f t="shared" si="7"/>
        <v>2024</v>
      </c>
      <c r="F132" t="s">
        <v>18</v>
      </c>
      <c r="G132" s="2">
        <v>32142</v>
      </c>
      <c r="H132" s="2">
        <v>17934</v>
      </c>
      <c r="I132" s="2">
        <v>817</v>
      </c>
      <c r="J132" s="2">
        <v>213</v>
      </c>
      <c r="K132" s="2">
        <v>215</v>
      </c>
      <c r="L132" s="5">
        <f t="shared" si="8"/>
        <v>6.9421211107393771E-2</v>
      </c>
    </row>
    <row r="133" spans="1:12" x14ac:dyDescent="0.25">
      <c r="A133" t="s">
        <v>151</v>
      </c>
      <c r="B133" t="s">
        <v>20</v>
      </c>
      <c r="C133" s="10">
        <v>45345</v>
      </c>
      <c r="D133" s="18" t="str">
        <f t="shared" si="6"/>
        <v>February</v>
      </c>
      <c r="E133" s="11" t="str">
        <f t="shared" si="7"/>
        <v>2024</v>
      </c>
      <c r="F133" t="s">
        <v>24</v>
      </c>
      <c r="G133" s="2">
        <v>30650</v>
      </c>
      <c r="H133" s="2">
        <v>14347</v>
      </c>
      <c r="I133" s="2">
        <v>899</v>
      </c>
      <c r="J133" s="2">
        <v>289</v>
      </c>
      <c r="K133" s="2">
        <v>194</v>
      </c>
      <c r="L133" s="5">
        <f t="shared" si="8"/>
        <v>9.6326758207290725E-2</v>
      </c>
    </row>
    <row r="134" spans="1:12" x14ac:dyDescent="0.25">
      <c r="A134" t="s">
        <v>152</v>
      </c>
      <c r="B134" t="s">
        <v>11</v>
      </c>
      <c r="C134" s="10">
        <v>45415</v>
      </c>
      <c r="D134" s="18" t="str">
        <f t="shared" si="6"/>
        <v>May</v>
      </c>
      <c r="E134" s="11" t="str">
        <f t="shared" si="7"/>
        <v>2024</v>
      </c>
      <c r="F134" t="s">
        <v>32</v>
      </c>
      <c r="G134" s="2">
        <v>27037</v>
      </c>
      <c r="H134" s="2">
        <v>9717</v>
      </c>
      <c r="I134" s="2">
        <v>154</v>
      </c>
      <c r="J134" s="2">
        <v>146</v>
      </c>
      <c r="K134" s="2">
        <v>220</v>
      </c>
      <c r="L134" s="5">
        <f t="shared" si="8"/>
        <v>5.3514459195224864E-2</v>
      </c>
    </row>
    <row r="135" spans="1:12" x14ac:dyDescent="0.25">
      <c r="A135" t="s">
        <v>153</v>
      </c>
      <c r="B135" t="s">
        <v>14</v>
      </c>
      <c r="C135" s="10">
        <v>45734</v>
      </c>
      <c r="D135" s="18" t="str">
        <f t="shared" si="6"/>
        <v>March</v>
      </c>
      <c r="E135" s="11" t="str">
        <f t="shared" si="7"/>
        <v>2025</v>
      </c>
      <c r="F135" t="s">
        <v>32</v>
      </c>
      <c r="G135" s="2">
        <v>23100</v>
      </c>
      <c r="H135" s="2">
        <v>10566</v>
      </c>
      <c r="I135" s="2">
        <v>602</v>
      </c>
      <c r="J135" s="2">
        <v>136</v>
      </c>
      <c r="K135" s="2">
        <v>26</v>
      </c>
      <c r="L135" s="5">
        <f t="shared" si="8"/>
        <v>7.230740109786106E-2</v>
      </c>
    </row>
    <row r="136" spans="1:12" x14ac:dyDescent="0.25">
      <c r="A136" t="s">
        <v>154</v>
      </c>
      <c r="B136" t="s">
        <v>14</v>
      </c>
      <c r="C136" s="10">
        <v>45650</v>
      </c>
      <c r="D136" s="18" t="str">
        <f t="shared" si="6"/>
        <v>December</v>
      </c>
      <c r="E136" s="11" t="str">
        <f t="shared" si="7"/>
        <v>2024</v>
      </c>
      <c r="F136" t="s">
        <v>24</v>
      </c>
      <c r="G136" s="2">
        <v>16363</v>
      </c>
      <c r="H136" s="2">
        <v>9124</v>
      </c>
      <c r="I136" s="2">
        <v>429</v>
      </c>
      <c r="J136" s="2">
        <v>91</v>
      </c>
      <c r="K136" s="2">
        <v>81</v>
      </c>
      <c r="L136" s="5">
        <f t="shared" si="8"/>
        <v>6.5870232354230604E-2</v>
      </c>
    </row>
    <row r="137" spans="1:12" x14ac:dyDescent="0.25">
      <c r="A137" t="s">
        <v>155</v>
      </c>
      <c r="B137" t="s">
        <v>20</v>
      </c>
      <c r="C137" s="10">
        <v>46004</v>
      </c>
      <c r="D137" s="18" t="str">
        <f t="shared" si="6"/>
        <v>December</v>
      </c>
      <c r="E137" s="11" t="str">
        <f t="shared" si="7"/>
        <v>2025</v>
      </c>
      <c r="F137" t="s">
        <v>18</v>
      </c>
      <c r="G137" s="2">
        <v>93162</v>
      </c>
      <c r="H137" s="2">
        <v>41278</v>
      </c>
      <c r="I137" s="2">
        <v>2618</v>
      </c>
      <c r="J137" s="2">
        <v>802</v>
      </c>
      <c r="K137" s="2">
        <v>1648</v>
      </c>
      <c r="L137" s="5">
        <f t="shared" si="8"/>
        <v>0.12277726634042346</v>
      </c>
    </row>
    <row r="138" spans="1:12" x14ac:dyDescent="0.25">
      <c r="A138" t="s">
        <v>156</v>
      </c>
      <c r="B138" t="s">
        <v>14</v>
      </c>
      <c r="C138" s="10">
        <v>45571</v>
      </c>
      <c r="D138" s="18" t="str">
        <f t="shared" si="6"/>
        <v>October</v>
      </c>
      <c r="E138" s="11" t="str">
        <f t="shared" si="7"/>
        <v>2024</v>
      </c>
      <c r="F138" t="s">
        <v>18</v>
      </c>
      <c r="G138" s="2">
        <v>75048</v>
      </c>
      <c r="H138" s="2">
        <v>35482</v>
      </c>
      <c r="I138" s="2">
        <v>1561</v>
      </c>
      <c r="J138" s="2">
        <v>466</v>
      </c>
      <c r="K138" s="2">
        <v>297</v>
      </c>
      <c r="L138" s="5">
        <f t="shared" si="8"/>
        <v>6.5497998985401054E-2</v>
      </c>
    </row>
    <row r="139" spans="1:12" x14ac:dyDescent="0.25">
      <c r="A139" t="s">
        <v>157</v>
      </c>
      <c r="B139" t="s">
        <v>14</v>
      </c>
      <c r="C139" s="10">
        <v>45818</v>
      </c>
      <c r="D139" s="18" t="str">
        <f t="shared" si="6"/>
        <v>June</v>
      </c>
      <c r="E139" s="11" t="str">
        <f t="shared" si="7"/>
        <v>2025</v>
      </c>
      <c r="F139" t="s">
        <v>32</v>
      </c>
      <c r="G139" s="2">
        <v>44099</v>
      </c>
      <c r="H139" s="2">
        <v>33605</v>
      </c>
      <c r="I139" s="2">
        <v>2363</v>
      </c>
      <c r="J139" s="2">
        <v>226</v>
      </c>
      <c r="K139" s="2">
        <v>217</v>
      </c>
      <c r="L139" s="5">
        <f t="shared" si="8"/>
        <v>8.3499479244160096E-2</v>
      </c>
    </row>
    <row r="140" spans="1:12" x14ac:dyDescent="0.25">
      <c r="A140" t="s">
        <v>158</v>
      </c>
      <c r="B140" t="s">
        <v>20</v>
      </c>
      <c r="C140" s="10">
        <v>45472</v>
      </c>
      <c r="D140" s="18" t="str">
        <f t="shared" si="6"/>
        <v>June</v>
      </c>
      <c r="E140" s="11" t="str">
        <f t="shared" si="7"/>
        <v>2024</v>
      </c>
      <c r="F140" t="s">
        <v>24</v>
      </c>
      <c r="G140" s="2">
        <v>239851</v>
      </c>
      <c r="H140" s="2">
        <v>124623</v>
      </c>
      <c r="I140" s="2">
        <v>9500</v>
      </c>
      <c r="J140" s="2">
        <v>1981</v>
      </c>
      <c r="K140" s="2">
        <v>4114</v>
      </c>
      <c r="L140" s="5">
        <f t="shared" si="8"/>
        <v>0.12513741444195695</v>
      </c>
    </row>
    <row r="141" spans="1:12" x14ac:dyDescent="0.25">
      <c r="A141" t="s">
        <v>159</v>
      </c>
      <c r="B141" t="s">
        <v>17</v>
      </c>
      <c r="C141" s="10">
        <v>45544</v>
      </c>
      <c r="D141" s="18" t="str">
        <f t="shared" si="6"/>
        <v>September</v>
      </c>
      <c r="E141" s="11" t="str">
        <f t="shared" si="7"/>
        <v>2024</v>
      </c>
      <c r="F141" t="s">
        <v>15</v>
      </c>
      <c r="G141" s="2">
        <v>18718</v>
      </c>
      <c r="H141" s="2">
        <v>16040</v>
      </c>
      <c r="I141" s="2">
        <v>189</v>
      </c>
      <c r="J141" s="2">
        <v>56</v>
      </c>
      <c r="K141" s="2">
        <v>137</v>
      </c>
      <c r="L141" s="5">
        <f t="shared" si="8"/>
        <v>2.3815461346633416E-2</v>
      </c>
    </row>
    <row r="142" spans="1:12" x14ac:dyDescent="0.25">
      <c r="A142" t="s">
        <v>160</v>
      </c>
      <c r="B142" t="s">
        <v>14</v>
      </c>
      <c r="C142" s="10">
        <v>45656</v>
      </c>
      <c r="D142" s="18" t="str">
        <f t="shared" si="6"/>
        <v>December</v>
      </c>
      <c r="E142" s="11" t="str">
        <f t="shared" si="7"/>
        <v>2024</v>
      </c>
      <c r="F142" t="s">
        <v>32</v>
      </c>
      <c r="G142" s="2">
        <v>22710</v>
      </c>
      <c r="H142" s="2">
        <v>16442</v>
      </c>
      <c r="I142" s="2">
        <v>899</v>
      </c>
      <c r="J142" s="2">
        <v>209</v>
      </c>
      <c r="K142" s="2">
        <v>93</v>
      </c>
      <c r="L142" s="5">
        <f t="shared" si="8"/>
        <v>7.3044641771074073E-2</v>
      </c>
    </row>
    <row r="143" spans="1:12" x14ac:dyDescent="0.25">
      <c r="A143" t="s">
        <v>161</v>
      </c>
      <c r="B143" t="s">
        <v>20</v>
      </c>
      <c r="C143" s="10">
        <v>45835</v>
      </c>
      <c r="D143" s="18" t="str">
        <f t="shared" si="6"/>
        <v>June</v>
      </c>
      <c r="E143" s="11" t="str">
        <f t="shared" si="7"/>
        <v>2025</v>
      </c>
      <c r="F143" t="s">
        <v>18</v>
      </c>
      <c r="G143" s="2">
        <v>334929</v>
      </c>
      <c r="H143" s="2">
        <v>222057</v>
      </c>
      <c r="I143" s="2">
        <v>14562</v>
      </c>
      <c r="J143" s="2">
        <v>6577</v>
      </c>
      <c r="K143" s="2">
        <v>7722</v>
      </c>
      <c r="L143" s="5">
        <f t="shared" si="8"/>
        <v>0.12997113353778533</v>
      </c>
    </row>
    <row r="144" spans="1:12" x14ac:dyDescent="0.25">
      <c r="A144" t="s">
        <v>162</v>
      </c>
      <c r="B144" t="s">
        <v>20</v>
      </c>
      <c r="C144" s="10">
        <v>45457</v>
      </c>
      <c r="D144" s="18" t="str">
        <f t="shared" si="6"/>
        <v>June</v>
      </c>
      <c r="E144" s="11" t="str">
        <f t="shared" si="7"/>
        <v>2024</v>
      </c>
      <c r="F144" t="s">
        <v>18</v>
      </c>
      <c r="G144" s="2">
        <v>116642</v>
      </c>
      <c r="H144" s="2">
        <v>66958</v>
      </c>
      <c r="I144" s="2">
        <v>3056</v>
      </c>
      <c r="J144" s="2">
        <v>1891</v>
      </c>
      <c r="K144" s="2">
        <v>2501</v>
      </c>
      <c r="L144" s="5">
        <f t="shared" si="8"/>
        <v>0.1112339078228143</v>
      </c>
    </row>
    <row r="145" spans="1:12" x14ac:dyDescent="0.25">
      <c r="A145" t="s">
        <v>163</v>
      </c>
      <c r="B145" t="s">
        <v>20</v>
      </c>
      <c r="C145" s="10">
        <v>45681</v>
      </c>
      <c r="D145" s="18" t="str">
        <f t="shared" si="6"/>
        <v>January</v>
      </c>
      <c r="E145" s="11" t="str">
        <f t="shared" si="7"/>
        <v>2025</v>
      </c>
      <c r="F145" t="s">
        <v>24</v>
      </c>
      <c r="G145" s="2">
        <v>343312</v>
      </c>
      <c r="H145" s="2">
        <v>126762</v>
      </c>
      <c r="I145" s="2">
        <v>4561</v>
      </c>
      <c r="J145" s="2">
        <v>2281</v>
      </c>
      <c r="K145" s="2">
        <v>3281</v>
      </c>
      <c r="L145" s="5">
        <f t="shared" si="8"/>
        <v>7.9858317161294393E-2</v>
      </c>
    </row>
    <row r="146" spans="1:12" x14ac:dyDescent="0.25">
      <c r="A146" t="s">
        <v>164</v>
      </c>
      <c r="B146" t="s">
        <v>17</v>
      </c>
      <c r="C146" s="10">
        <v>45858</v>
      </c>
      <c r="D146" s="18" t="str">
        <f t="shared" si="6"/>
        <v>July</v>
      </c>
      <c r="E146" s="11" t="str">
        <f t="shared" si="7"/>
        <v>2025</v>
      </c>
      <c r="F146" t="s">
        <v>12</v>
      </c>
      <c r="G146" s="2">
        <v>15197</v>
      </c>
      <c r="H146" s="2">
        <v>10245</v>
      </c>
      <c r="I146" s="2">
        <v>111</v>
      </c>
      <c r="J146" s="2">
        <v>65</v>
      </c>
      <c r="K146" s="2">
        <v>105</v>
      </c>
      <c r="L146" s="5">
        <f t="shared" si="8"/>
        <v>2.7428013665202537E-2</v>
      </c>
    </row>
    <row r="147" spans="1:12" x14ac:dyDescent="0.25">
      <c r="A147" t="s">
        <v>165</v>
      </c>
      <c r="B147" t="s">
        <v>20</v>
      </c>
      <c r="C147" s="10">
        <v>45754</v>
      </c>
      <c r="D147" s="18" t="str">
        <f t="shared" si="6"/>
        <v>April</v>
      </c>
      <c r="E147" s="11" t="str">
        <f t="shared" si="7"/>
        <v>2025</v>
      </c>
      <c r="F147" t="s">
        <v>18</v>
      </c>
      <c r="G147" s="2">
        <v>293856</v>
      </c>
      <c r="H147" s="2">
        <v>123520</v>
      </c>
      <c r="I147" s="2">
        <v>6174</v>
      </c>
      <c r="J147" s="2">
        <v>1311</v>
      </c>
      <c r="K147" s="2">
        <v>1917</v>
      </c>
      <c r="L147" s="5">
        <f t="shared" si="8"/>
        <v>7.6117227979274615E-2</v>
      </c>
    </row>
    <row r="148" spans="1:12" x14ac:dyDescent="0.25">
      <c r="A148" t="s">
        <v>166</v>
      </c>
      <c r="B148" t="s">
        <v>14</v>
      </c>
      <c r="C148" s="10">
        <v>45652</v>
      </c>
      <c r="D148" s="18" t="str">
        <f t="shared" si="6"/>
        <v>December</v>
      </c>
      <c r="E148" s="11" t="str">
        <f t="shared" si="7"/>
        <v>2024</v>
      </c>
      <c r="F148" t="s">
        <v>18</v>
      </c>
      <c r="G148" s="2">
        <v>5511</v>
      </c>
      <c r="H148" s="2">
        <v>2621</v>
      </c>
      <c r="I148" s="2">
        <v>175</v>
      </c>
      <c r="J148" s="2">
        <v>25</v>
      </c>
      <c r="K148" s="2">
        <v>9</v>
      </c>
      <c r="L148" s="5">
        <f t="shared" si="8"/>
        <v>7.9740557039297971E-2</v>
      </c>
    </row>
    <row r="149" spans="1:12" x14ac:dyDescent="0.25">
      <c r="A149" t="s">
        <v>167</v>
      </c>
      <c r="B149" t="s">
        <v>11</v>
      </c>
      <c r="C149" s="10">
        <v>45876</v>
      </c>
      <c r="D149" s="18" t="str">
        <f t="shared" si="6"/>
        <v>August</v>
      </c>
      <c r="E149" s="11" t="str">
        <f t="shared" si="7"/>
        <v>2025</v>
      </c>
      <c r="F149" t="s">
        <v>15</v>
      </c>
      <c r="G149" s="2">
        <v>27066</v>
      </c>
      <c r="H149" s="2">
        <v>18125</v>
      </c>
      <c r="I149" s="2">
        <v>364</v>
      </c>
      <c r="J149" s="2">
        <v>293</v>
      </c>
      <c r="K149" s="2">
        <v>456</v>
      </c>
      <c r="L149" s="5">
        <f t="shared" si="8"/>
        <v>6.1406896551724141E-2</v>
      </c>
    </row>
    <row r="150" spans="1:12" x14ac:dyDescent="0.25">
      <c r="A150" t="s">
        <v>168</v>
      </c>
      <c r="B150" t="s">
        <v>11</v>
      </c>
      <c r="C150" s="10">
        <v>46002</v>
      </c>
      <c r="D150" s="18" t="str">
        <f t="shared" si="6"/>
        <v>December</v>
      </c>
      <c r="E150" s="11" t="str">
        <f t="shared" si="7"/>
        <v>2025</v>
      </c>
      <c r="F150" t="s">
        <v>18</v>
      </c>
      <c r="G150" s="2">
        <v>19890</v>
      </c>
      <c r="H150" s="2">
        <v>12829</v>
      </c>
      <c r="I150" s="2">
        <v>147</v>
      </c>
      <c r="J150" s="2">
        <v>175</v>
      </c>
      <c r="K150" s="2">
        <v>230</v>
      </c>
      <c r="L150" s="5">
        <f t="shared" si="8"/>
        <v>4.3027515784550628E-2</v>
      </c>
    </row>
    <row r="151" spans="1:12" x14ac:dyDescent="0.25">
      <c r="A151" t="s">
        <v>169</v>
      </c>
      <c r="B151" t="s">
        <v>11</v>
      </c>
      <c r="C151" s="10">
        <v>45467</v>
      </c>
      <c r="D151" s="18" t="str">
        <f t="shared" si="6"/>
        <v>June</v>
      </c>
      <c r="E151" s="11" t="str">
        <f t="shared" si="7"/>
        <v>2024</v>
      </c>
      <c r="F151" t="s">
        <v>15</v>
      </c>
      <c r="G151" s="2">
        <v>25081</v>
      </c>
      <c r="H151" s="2">
        <v>8094</v>
      </c>
      <c r="I151" s="2">
        <v>155</v>
      </c>
      <c r="J151" s="2">
        <v>161</v>
      </c>
      <c r="K151" s="2">
        <v>189</v>
      </c>
      <c r="L151" s="5">
        <f t="shared" si="8"/>
        <v>6.2391895231035333E-2</v>
      </c>
    </row>
    <row r="152" spans="1:12" x14ac:dyDescent="0.25">
      <c r="A152" t="s">
        <v>170</v>
      </c>
      <c r="B152" t="s">
        <v>14</v>
      </c>
      <c r="C152" s="10">
        <v>45494</v>
      </c>
      <c r="D152" s="18" t="str">
        <f t="shared" si="6"/>
        <v>July</v>
      </c>
      <c r="E152" s="11" t="str">
        <f t="shared" si="7"/>
        <v>2024</v>
      </c>
      <c r="F152" t="s">
        <v>24</v>
      </c>
      <c r="G152" s="2">
        <v>104239</v>
      </c>
      <c r="H152" s="2">
        <v>49276</v>
      </c>
      <c r="I152" s="2">
        <v>2773</v>
      </c>
      <c r="J152" s="2">
        <v>500</v>
      </c>
      <c r="K152" s="2">
        <v>483</v>
      </c>
      <c r="L152" s="5">
        <f t="shared" si="8"/>
        <v>7.6223719457748196E-2</v>
      </c>
    </row>
    <row r="153" spans="1:12" x14ac:dyDescent="0.25">
      <c r="A153" t="s">
        <v>171</v>
      </c>
      <c r="B153" t="s">
        <v>20</v>
      </c>
      <c r="C153" s="10">
        <v>45643</v>
      </c>
      <c r="D153" s="18" t="str">
        <f t="shared" si="6"/>
        <v>December</v>
      </c>
      <c r="E153" s="11" t="str">
        <f t="shared" si="7"/>
        <v>2024</v>
      </c>
      <c r="F153" t="s">
        <v>24</v>
      </c>
      <c r="G153" s="2">
        <v>384927</v>
      </c>
      <c r="H153" s="2">
        <v>135945</v>
      </c>
      <c r="I153" s="2">
        <v>7052</v>
      </c>
      <c r="J153" s="2">
        <v>2759</v>
      </c>
      <c r="K153" s="2">
        <v>4351</v>
      </c>
      <c r="L153" s="5">
        <f t="shared" si="8"/>
        <v>0.10417448232741182</v>
      </c>
    </row>
    <row r="154" spans="1:12" x14ac:dyDescent="0.25">
      <c r="A154" t="s">
        <v>172</v>
      </c>
      <c r="B154" t="s">
        <v>11</v>
      </c>
      <c r="C154" s="10">
        <v>45976</v>
      </c>
      <c r="D154" s="18" t="str">
        <f t="shared" si="6"/>
        <v>November</v>
      </c>
      <c r="E154" s="11" t="str">
        <f t="shared" si="7"/>
        <v>2025</v>
      </c>
      <c r="F154" t="s">
        <v>18</v>
      </c>
      <c r="G154" s="2">
        <v>20119</v>
      </c>
      <c r="H154" s="2">
        <v>13193</v>
      </c>
      <c r="I154" s="2">
        <v>271</v>
      </c>
      <c r="J154" s="2">
        <v>254</v>
      </c>
      <c r="K154" s="2">
        <v>155</v>
      </c>
      <c r="L154" s="5">
        <f t="shared" si="8"/>
        <v>5.1542484650951265E-2</v>
      </c>
    </row>
    <row r="155" spans="1:12" x14ac:dyDescent="0.25">
      <c r="A155" t="s">
        <v>173</v>
      </c>
      <c r="B155" t="s">
        <v>26</v>
      </c>
      <c r="C155" s="10">
        <v>45898</v>
      </c>
      <c r="D155" s="18" t="str">
        <f t="shared" si="6"/>
        <v>August</v>
      </c>
      <c r="E155" s="11" t="str">
        <f t="shared" si="7"/>
        <v>2025</v>
      </c>
      <c r="F155" t="s">
        <v>12</v>
      </c>
      <c r="G155" s="2">
        <v>3246</v>
      </c>
      <c r="H155" s="2">
        <v>1680</v>
      </c>
      <c r="I155" s="2">
        <v>39</v>
      </c>
      <c r="J155" s="2">
        <v>16</v>
      </c>
      <c r="K155" s="2">
        <v>14</v>
      </c>
      <c r="L155" s="5">
        <f t="shared" si="8"/>
        <v>4.1071428571428571E-2</v>
      </c>
    </row>
    <row r="156" spans="1:12" x14ac:dyDescent="0.25">
      <c r="A156" t="s">
        <v>174</v>
      </c>
      <c r="B156" t="s">
        <v>20</v>
      </c>
      <c r="C156" s="10">
        <v>45489</v>
      </c>
      <c r="D156" s="18" t="str">
        <f t="shared" si="6"/>
        <v>July</v>
      </c>
      <c r="E156" s="11" t="str">
        <f t="shared" si="7"/>
        <v>2024</v>
      </c>
      <c r="F156" t="s">
        <v>24</v>
      </c>
      <c r="G156" s="2">
        <v>30091</v>
      </c>
      <c r="H156" s="2">
        <v>18661</v>
      </c>
      <c r="I156" s="2">
        <v>1810</v>
      </c>
      <c r="J156" s="2">
        <v>174</v>
      </c>
      <c r="K156" s="2">
        <v>701</v>
      </c>
      <c r="L156" s="5">
        <f t="shared" si="8"/>
        <v>0.14388296447135737</v>
      </c>
    </row>
    <row r="157" spans="1:12" x14ac:dyDescent="0.25">
      <c r="A157" t="s">
        <v>175</v>
      </c>
      <c r="B157" t="s">
        <v>26</v>
      </c>
      <c r="C157" s="10">
        <v>45920</v>
      </c>
      <c r="D157" s="18" t="str">
        <f t="shared" si="6"/>
        <v>September</v>
      </c>
      <c r="E157" s="11" t="str">
        <f t="shared" si="7"/>
        <v>2025</v>
      </c>
      <c r="F157" t="s">
        <v>12</v>
      </c>
      <c r="G157" s="2">
        <v>11667</v>
      </c>
      <c r="H157" s="2">
        <v>9170</v>
      </c>
      <c r="I157" s="2">
        <v>448</v>
      </c>
      <c r="J157" s="2">
        <v>211</v>
      </c>
      <c r="K157" s="2">
        <v>67</v>
      </c>
      <c r="L157" s="5">
        <f t="shared" si="8"/>
        <v>7.9171210468920394E-2</v>
      </c>
    </row>
    <row r="158" spans="1:12" x14ac:dyDescent="0.25">
      <c r="A158" t="s">
        <v>176</v>
      </c>
      <c r="B158" t="s">
        <v>20</v>
      </c>
      <c r="C158" s="10">
        <v>45778</v>
      </c>
      <c r="D158" s="18" t="str">
        <f t="shared" si="6"/>
        <v>May</v>
      </c>
      <c r="E158" s="11" t="str">
        <f t="shared" si="7"/>
        <v>2025</v>
      </c>
      <c r="F158" t="s">
        <v>18</v>
      </c>
      <c r="G158" s="2">
        <v>194808</v>
      </c>
      <c r="H158" s="2">
        <v>132787</v>
      </c>
      <c r="I158" s="2">
        <v>13497</v>
      </c>
      <c r="J158" s="2">
        <v>2076</v>
      </c>
      <c r="K158" s="2">
        <v>2239</v>
      </c>
      <c r="L158" s="5">
        <f t="shared" si="8"/>
        <v>0.13413963716327654</v>
      </c>
    </row>
    <row r="159" spans="1:12" x14ac:dyDescent="0.25">
      <c r="A159" t="s">
        <v>177</v>
      </c>
      <c r="B159" t="s">
        <v>20</v>
      </c>
      <c r="C159" s="10">
        <v>45896</v>
      </c>
      <c r="D159" s="18" t="str">
        <f t="shared" si="6"/>
        <v>August</v>
      </c>
      <c r="E159" s="11" t="str">
        <f t="shared" si="7"/>
        <v>2025</v>
      </c>
      <c r="F159" t="s">
        <v>18</v>
      </c>
      <c r="G159" s="2">
        <v>408495</v>
      </c>
      <c r="H159" s="2">
        <v>221297</v>
      </c>
      <c r="I159" s="2">
        <v>8945</v>
      </c>
      <c r="J159" s="2">
        <v>1490</v>
      </c>
      <c r="K159" s="2">
        <v>6381</v>
      </c>
      <c r="L159" s="5">
        <f t="shared" si="8"/>
        <v>7.5988377610179986E-2</v>
      </c>
    </row>
    <row r="160" spans="1:12" x14ac:dyDescent="0.25">
      <c r="A160" t="s">
        <v>178</v>
      </c>
      <c r="B160" t="s">
        <v>14</v>
      </c>
      <c r="C160" s="10">
        <v>45419</v>
      </c>
      <c r="D160" s="18" t="str">
        <f t="shared" si="6"/>
        <v>May</v>
      </c>
      <c r="E160" s="11" t="str">
        <f t="shared" si="7"/>
        <v>2024</v>
      </c>
      <c r="F160" t="s">
        <v>24</v>
      </c>
      <c r="G160" s="2">
        <v>26303</v>
      </c>
      <c r="H160" s="2">
        <v>16607</v>
      </c>
      <c r="I160" s="2">
        <v>1319</v>
      </c>
      <c r="J160" s="2">
        <v>207</v>
      </c>
      <c r="K160" s="2">
        <v>60</v>
      </c>
      <c r="L160" s="5">
        <f t="shared" si="8"/>
        <v>9.5501896790510021E-2</v>
      </c>
    </row>
    <row r="161" spans="1:12" x14ac:dyDescent="0.25">
      <c r="A161" t="s">
        <v>179</v>
      </c>
      <c r="B161" t="s">
        <v>26</v>
      </c>
      <c r="C161" s="10">
        <v>45470</v>
      </c>
      <c r="D161" s="18" t="str">
        <f t="shared" si="6"/>
        <v>June</v>
      </c>
      <c r="E161" s="11" t="str">
        <f t="shared" si="7"/>
        <v>2024</v>
      </c>
      <c r="F161" t="s">
        <v>32</v>
      </c>
      <c r="G161" s="2">
        <v>11727</v>
      </c>
      <c r="H161" s="2">
        <v>5198</v>
      </c>
      <c r="I161" s="2">
        <v>254</v>
      </c>
      <c r="J161" s="2">
        <v>119</v>
      </c>
      <c r="K161" s="2">
        <v>37</v>
      </c>
      <c r="L161" s="5">
        <f t="shared" si="8"/>
        <v>7.8876490958060791E-2</v>
      </c>
    </row>
    <row r="162" spans="1:12" x14ac:dyDescent="0.25">
      <c r="A162" t="s">
        <v>180</v>
      </c>
      <c r="B162" t="s">
        <v>17</v>
      </c>
      <c r="C162" s="10">
        <v>45995</v>
      </c>
      <c r="D162" s="18" t="str">
        <f t="shared" si="6"/>
        <v>December</v>
      </c>
      <c r="E162" s="11" t="str">
        <f t="shared" si="7"/>
        <v>2025</v>
      </c>
      <c r="F162" t="s">
        <v>15</v>
      </c>
      <c r="G162" s="2">
        <v>471</v>
      </c>
      <c r="H162" s="2">
        <v>276</v>
      </c>
      <c r="I162" s="2">
        <v>7</v>
      </c>
      <c r="J162" s="2">
        <v>0</v>
      </c>
      <c r="K162" s="2">
        <v>4</v>
      </c>
      <c r="L162" s="5">
        <f t="shared" si="8"/>
        <v>3.9855072463768113E-2</v>
      </c>
    </row>
    <row r="163" spans="1:12" x14ac:dyDescent="0.25">
      <c r="A163" t="s">
        <v>181</v>
      </c>
      <c r="B163" t="s">
        <v>26</v>
      </c>
      <c r="C163" s="10">
        <v>45292</v>
      </c>
      <c r="D163" s="18" t="str">
        <f t="shared" si="6"/>
        <v>January</v>
      </c>
      <c r="E163" s="11" t="str">
        <f t="shared" si="7"/>
        <v>2024</v>
      </c>
      <c r="F163" t="s">
        <v>32</v>
      </c>
      <c r="G163" s="2">
        <v>20026</v>
      </c>
      <c r="H163" s="2">
        <v>11416</v>
      </c>
      <c r="I163" s="2">
        <v>469</v>
      </c>
      <c r="J163" s="2">
        <v>208</v>
      </c>
      <c r="K163" s="2">
        <v>165</v>
      </c>
      <c r="L163" s="5">
        <f t="shared" si="8"/>
        <v>7.3756131744919406E-2</v>
      </c>
    </row>
    <row r="164" spans="1:12" x14ac:dyDescent="0.25">
      <c r="A164" t="s">
        <v>182</v>
      </c>
      <c r="B164" t="s">
        <v>14</v>
      </c>
      <c r="C164" s="10">
        <v>45894</v>
      </c>
      <c r="D164" s="18" t="str">
        <f t="shared" si="6"/>
        <v>August</v>
      </c>
      <c r="E164" s="11" t="str">
        <f t="shared" si="7"/>
        <v>2025</v>
      </c>
      <c r="F164" t="s">
        <v>15</v>
      </c>
      <c r="G164" s="2">
        <v>20181</v>
      </c>
      <c r="H164" s="2">
        <v>15435</v>
      </c>
      <c r="I164" s="2">
        <v>573</v>
      </c>
      <c r="J164" s="2">
        <v>160</v>
      </c>
      <c r="K164" s="2">
        <v>74</v>
      </c>
      <c r="L164" s="5">
        <f t="shared" si="8"/>
        <v>5.2283770651117591E-2</v>
      </c>
    </row>
    <row r="165" spans="1:12" x14ac:dyDescent="0.25">
      <c r="A165" t="s">
        <v>183</v>
      </c>
      <c r="B165" t="s">
        <v>14</v>
      </c>
      <c r="C165" s="10">
        <v>45389</v>
      </c>
      <c r="D165" s="18" t="str">
        <f t="shared" si="6"/>
        <v>April</v>
      </c>
      <c r="E165" s="11" t="str">
        <f t="shared" si="7"/>
        <v>2024</v>
      </c>
      <c r="F165" t="s">
        <v>32</v>
      </c>
      <c r="G165" s="2">
        <v>36009</v>
      </c>
      <c r="H165" s="2">
        <v>28102</v>
      </c>
      <c r="I165" s="2">
        <v>1365</v>
      </c>
      <c r="J165" s="2">
        <v>80</v>
      </c>
      <c r="K165" s="2">
        <v>71</v>
      </c>
      <c r="L165" s="5">
        <f t="shared" si="8"/>
        <v>5.3946338338908266E-2</v>
      </c>
    </row>
    <row r="166" spans="1:12" x14ac:dyDescent="0.25">
      <c r="A166" t="s">
        <v>184</v>
      </c>
      <c r="B166" t="s">
        <v>26</v>
      </c>
      <c r="C166" s="10">
        <v>45407</v>
      </c>
      <c r="D166" s="18" t="str">
        <f t="shared" si="6"/>
        <v>April</v>
      </c>
      <c r="E166" s="11" t="str">
        <f t="shared" si="7"/>
        <v>2024</v>
      </c>
      <c r="F166" t="s">
        <v>18</v>
      </c>
      <c r="G166" s="2">
        <v>10578</v>
      </c>
      <c r="H166" s="2">
        <v>6946</v>
      </c>
      <c r="I166" s="2">
        <v>278</v>
      </c>
      <c r="J166" s="2">
        <v>44</v>
      </c>
      <c r="K166" s="2">
        <v>34</v>
      </c>
      <c r="L166" s="5">
        <f t="shared" si="8"/>
        <v>5.1252519435646418E-2</v>
      </c>
    </row>
    <row r="167" spans="1:12" x14ac:dyDescent="0.25">
      <c r="A167" t="s">
        <v>185</v>
      </c>
      <c r="B167" t="s">
        <v>14</v>
      </c>
      <c r="C167" s="10">
        <v>45783</v>
      </c>
      <c r="D167" s="18" t="str">
        <f t="shared" si="6"/>
        <v>May</v>
      </c>
      <c r="E167" s="11" t="str">
        <f t="shared" si="7"/>
        <v>2025</v>
      </c>
      <c r="F167" t="s">
        <v>18</v>
      </c>
      <c r="G167" s="2">
        <v>48103</v>
      </c>
      <c r="H167" s="2">
        <v>24178</v>
      </c>
      <c r="I167" s="2">
        <v>1342</v>
      </c>
      <c r="J167" s="2">
        <v>354</v>
      </c>
      <c r="K167" s="2">
        <v>139</v>
      </c>
      <c r="L167" s="5">
        <f t="shared" si="8"/>
        <v>7.5895442137480354E-2</v>
      </c>
    </row>
    <row r="168" spans="1:12" x14ac:dyDescent="0.25">
      <c r="A168" t="s">
        <v>186</v>
      </c>
      <c r="B168" t="s">
        <v>17</v>
      </c>
      <c r="C168" s="10">
        <v>46001</v>
      </c>
      <c r="D168" s="18" t="str">
        <f t="shared" si="6"/>
        <v>December</v>
      </c>
      <c r="E168" s="11" t="str">
        <f t="shared" si="7"/>
        <v>2025</v>
      </c>
      <c r="F168" t="s">
        <v>18</v>
      </c>
      <c r="G168" s="2">
        <v>14655</v>
      </c>
      <c r="H168" s="2">
        <v>13078</v>
      </c>
      <c r="I168" s="2">
        <v>388</v>
      </c>
      <c r="J168" s="2">
        <v>44</v>
      </c>
      <c r="K168" s="2">
        <v>81</v>
      </c>
      <c r="L168" s="5">
        <f t="shared" si="8"/>
        <v>3.9226181373298669E-2</v>
      </c>
    </row>
    <row r="169" spans="1:12" x14ac:dyDescent="0.25">
      <c r="A169" t="s">
        <v>187</v>
      </c>
      <c r="B169" t="s">
        <v>20</v>
      </c>
      <c r="C169" s="10">
        <v>45665</v>
      </c>
      <c r="D169" s="18" t="str">
        <f t="shared" si="6"/>
        <v>January</v>
      </c>
      <c r="E169" s="11" t="str">
        <f t="shared" si="7"/>
        <v>2025</v>
      </c>
      <c r="F169" t="s">
        <v>24</v>
      </c>
      <c r="G169" s="2">
        <v>93884</v>
      </c>
      <c r="H169" s="2">
        <v>52756</v>
      </c>
      <c r="I169" s="2">
        <v>2125</v>
      </c>
      <c r="J169" s="2">
        <v>990</v>
      </c>
      <c r="K169" s="2">
        <v>867</v>
      </c>
      <c r="L169" s="5">
        <f t="shared" si="8"/>
        <v>7.5479566305254375E-2</v>
      </c>
    </row>
    <row r="170" spans="1:12" x14ac:dyDescent="0.25">
      <c r="A170" t="s">
        <v>188</v>
      </c>
      <c r="B170" t="s">
        <v>14</v>
      </c>
      <c r="C170" s="10">
        <v>45573</v>
      </c>
      <c r="D170" s="18" t="str">
        <f t="shared" si="6"/>
        <v>October</v>
      </c>
      <c r="E170" s="11" t="str">
        <f t="shared" si="7"/>
        <v>2024</v>
      </c>
      <c r="F170" t="s">
        <v>32</v>
      </c>
      <c r="G170" s="2">
        <v>45076</v>
      </c>
      <c r="H170" s="2">
        <v>24828</v>
      </c>
      <c r="I170" s="2">
        <v>1520</v>
      </c>
      <c r="J170" s="2">
        <v>249</v>
      </c>
      <c r="K170" s="2">
        <v>162</v>
      </c>
      <c r="L170" s="5">
        <f t="shared" si="8"/>
        <v>7.7775092637344931E-2</v>
      </c>
    </row>
    <row r="171" spans="1:12" x14ac:dyDescent="0.25">
      <c r="A171" t="s">
        <v>189</v>
      </c>
      <c r="B171" t="s">
        <v>17</v>
      </c>
      <c r="C171" s="10">
        <v>45378</v>
      </c>
      <c r="D171" s="18" t="str">
        <f t="shared" si="6"/>
        <v>March</v>
      </c>
      <c r="E171" s="11" t="str">
        <f t="shared" si="7"/>
        <v>2024</v>
      </c>
      <c r="F171" t="s">
        <v>18</v>
      </c>
      <c r="G171" s="2">
        <v>35635</v>
      </c>
      <c r="H171" s="2">
        <v>27103</v>
      </c>
      <c r="I171" s="2">
        <v>465</v>
      </c>
      <c r="J171" s="2">
        <v>39</v>
      </c>
      <c r="K171" s="2">
        <v>100</v>
      </c>
      <c r="L171" s="5">
        <f t="shared" si="8"/>
        <v>2.2285355864664427E-2</v>
      </c>
    </row>
    <row r="172" spans="1:12" x14ac:dyDescent="0.25">
      <c r="A172" t="s">
        <v>190</v>
      </c>
      <c r="B172" t="s">
        <v>14</v>
      </c>
      <c r="C172" s="10">
        <v>45575</v>
      </c>
      <c r="D172" s="18" t="str">
        <f t="shared" si="6"/>
        <v>October</v>
      </c>
      <c r="E172" s="11" t="str">
        <f t="shared" si="7"/>
        <v>2024</v>
      </c>
      <c r="F172" t="s">
        <v>15</v>
      </c>
      <c r="G172" s="2">
        <v>15434</v>
      </c>
      <c r="H172" s="2">
        <v>11400</v>
      </c>
      <c r="I172" s="2">
        <v>714</v>
      </c>
      <c r="J172" s="2">
        <v>76</v>
      </c>
      <c r="K172" s="2">
        <v>13</v>
      </c>
      <c r="L172" s="5">
        <f t="shared" si="8"/>
        <v>7.0438596491228064E-2</v>
      </c>
    </row>
    <row r="173" spans="1:12" x14ac:dyDescent="0.25">
      <c r="A173" t="s">
        <v>191</v>
      </c>
      <c r="B173" t="s">
        <v>11</v>
      </c>
      <c r="C173" s="10">
        <v>45425</v>
      </c>
      <c r="D173" s="18" t="str">
        <f t="shared" si="6"/>
        <v>May</v>
      </c>
      <c r="E173" s="11" t="str">
        <f t="shared" si="7"/>
        <v>2024</v>
      </c>
      <c r="F173" t="s">
        <v>15</v>
      </c>
      <c r="G173" s="2">
        <v>21321</v>
      </c>
      <c r="H173" s="2">
        <v>12342</v>
      </c>
      <c r="I173" s="2">
        <v>176</v>
      </c>
      <c r="J173" s="2">
        <v>153</v>
      </c>
      <c r="K173" s="2">
        <v>231</v>
      </c>
      <c r="L173" s="5">
        <f t="shared" si="8"/>
        <v>4.5373521309350184E-2</v>
      </c>
    </row>
    <row r="174" spans="1:12" x14ac:dyDescent="0.25">
      <c r="A174" t="s">
        <v>192</v>
      </c>
      <c r="B174" t="s">
        <v>11</v>
      </c>
      <c r="C174" s="10">
        <v>45960</v>
      </c>
      <c r="D174" s="18" t="str">
        <f t="shared" si="6"/>
        <v>October</v>
      </c>
      <c r="E174" s="11" t="str">
        <f t="shared" si="7"/>
        <v>2025</v>
      </c>
      <c r="F174" t="s">
        <v>18</v>
      </c>
      <c r="G174" s="2">
        <v>22187</v>
      </c>
      <c r="H174" s="2">
        <v>9633</v>
      </c>
      <c r="I174" s="2">
        <v>204</v>
      </c>
      <c r="J174" s="2">
        <v>37</v>
      </c>
      <c r="K174" s="2">
        <v>93</v>
      </c>
      <c r="L174" s="5">
        <f t="shared" si="8"/>
        <v>3.4672480016609573E-2</v>
      </c>
    </row>
    <row r="175" spans="1:12" x14ac:dyDescent="0.25">
      <c r="A175" t="s">
        <v>193</v>
      </c>
      <c r="B175" t="s">
        <v>17</v>
      </c>
      <c r="C175" s="10">
        <v>45707</v>
      </c>
      <c r="D175" s="18" t="str">
        <f t="shared" si="6"/>
        <v>February</v>
      </c>
      <c r="E175" s="11" t="str">
        <f t="shared" si="7"/>
        <v>2025</v>
      </c>
      <c r="F175" t="s">
        <v>15</v>
      </c>
      <c r="G175" s="2">
        <v>9378</v>
      </c>
      <c r="H175" s="2">
        <v>7167</v>
      </c>
      <c r="I175" s="2">
        <v>190</v>
      </c>
      <c r="J175" s="2">
        <v>7</v>
      </c>
      <c r="K175" s="2">
        <v>96</v>
      </c>
      <c r="L175" s="5">
        <f t="shared" si="8"/>
        <v>4.0881819450258129E-2</v>
      </c>
    </row>
    <row r="176" spans="1:12" x14ac:dyDescent="0.25">
      <c r="A176" t="s">
        <v>194</v>
      </c>
      <c r="B176" t="s">
        <v>14</v>
      </c>
      <c r="C176" s="10">
        <v>45846</v>
      </c>
      <c r="D176" s="18" t="str">
        <f t="shared" si="6"/>
        <v>July</v>
      </c>
      <c r="E176" s="11" t="str">
        <f t="shared" si="7"/>
        <v>2025</v>
      </c>
      <c r="F176" t="s">
        <v>32</v>
      </c>
      <c r="G176" s="2">
        <v>44531</v>
      </c>
      <c r="H176" s="2">
        <v>34397</v>
      </c>
      <c r="I176" s="2">
        <v>1578</v>
      </c>
      <c r="J176" s="2">
        <v>81</v>
      </c>
      <c r="K176" s="2">
        <v>227</v>
      </c>
      <c r="L176" s="5">
        <f t="shared" si="8"/>
        <v>5.4830363113062185E-2</v>
      </c>
    </row>
    <row r="177" spans="1:12" x14ac:dyDescent="0.25">
      <c r="A177" t="s">
        <v>195</v>
      </c>
      <c r="B177" t="s">
        <v>26</v>
      </c>
      <c r="C177" s="10">
        <v>45542</v>
      </c>
      <c r="D177" s="18" t="str">
        <f t="shared" si="6"/>
        <v>September</v>
      </c>
      <c r="E177" s="11" t="str">
        <f t="shared" si="7"/>
        <v>2024</v>
      </c>
      <c r="F177" t="s">
        <v>15</v>
      </c>
      <c r="G177" s="2">
        <v>1833</v>
      </c>
      <c r="H177" s="2">
        <v>1213</v>
      </c>
      <c r="I177" s="2">
        <v>42</v>
      </c>
      <c r="J177" s="2">
        <v>12</v>
      </c>
      <c r="K177" s="2">
        <v>13</v>
      </c>
      <c r="L177" s="5">
        <f t="shared" si="8"/>
        <v>5.5234954657873044E-2</v>
      </c>
    </row>
    <row r="178" spans="1:12" x14ac:dyDescent="0.25">
      <c r="A178" t="s">
        <v>196</v>
      </c>
      <c r="B178" t="s">
        <v>20</v>
      </c>
      <c r="C178" s="10">
        <v>45776</v>
      </c>
      <c r="D178" s="18" t="str">
        <f t="shared" si="6"/>
        <v>April</v>
      </c>
      <c r="E178" s="11" t="str">
        <f t="shared" si="7"/>
        <v>2025</v>
      </c>
      <c r="F178" t="s">
        <v>18</v>
      </c>
      <c r="G178" s="2">
        <v>163262</v>
      </c>
      <c r="H178" s="2">
        <v>69262</v>
      </c>
      <c r="I178" s="2">
        <v>4425</v>
      </c>
      <c r="J178" s="2">
        <v>1354</v>
      </c>
      <c r="K178" s="2">
        <v>2216</v>
      </c>
      <c r="L178" s="5">
        <f t="shared" si="8"/>
        <v>0.11543126100892265</v>
      </c>
    </row>
    <row r="179" spans="1:12" x14ac:dyDescent="0.25">
      <c r="A179" t="s">
        <v>197</v>
      </c>
      <c r="B179" t="s">
        <v>26</v>
      </c>
      <c r="C179" s="10">
        <v>45966</v>
      </c>
      <c r="D179" s="18" t="str">
        <f t="shared" si="6"/>
        <v>November</v>
      </c>
      <c r="E179" s="11" t="str">
        <f t="shared" si="7"/>
        <v>2025</v>
      </c>
      <c r="F179" t="s">
        <v>15</v>
      </c>
      <c r="G179" s="2">
        <v>10011</v>
      </c>
      <c r="H179" s="2">
        <v>7004</v>
      </c>
      <c r="I179" s="2">
        <v>264</v>
      </c>
      <c r="J179" s="2">
        <v>137</v>
      </c>
      <c r="K179" s="2">
        <v>44</v>
      </c>
      <c r="L179" s="5">
        <f t="shared" si="8"/>
        <v>6.353512278697887E-2</v>
      </c>
    </row>
    <row r="180" spans="1:12" x14ac:dyDescent="0.25">
      <c r="A180" t="s">
        <v>198</v>
      </c>
      <c r="B180" t="s">
        <v>17</v>
      </c>
      <c r="C180" s="10">
        <v>45726</v>
      </c>
      <c r="D180" s="18" t="str">
        <f t="shared" si="6"/>
        <v>March</v>
      </c>
      <c r="E180" s="11" t="str">
        <f t="shared" si="7"/>
        <v>2025</v>
      </c>
      <c r="F180" t="s">
        <v>12</v>
      </c>
      <c r="G180" s="2">
        <v>6937</v>
      </c>
      <c r="H180" s="2">
        <v>4808</v>
      </c>
      <c r="I180" s="2">
        <v>91</v>
      </c>
      <c r="J180" s="2">
        <v>22</v>
      </c>
      <c r="K180" s="2">
        <v>73</v>
      </c>
      <c r="L180" s="5">
        <f t="shared" si="8"/>
        <v>3.8685524126455907E-2</v>
      </c>
    </row>
    <row r="181" spans="1:12" x14ac:dyDescent="0.25">
      <c r="A181" t="s">
        <v>199</v>
      </c>
      <c r="B181" t="s">
        <v>14</v>
      </c>
      <c r="C181" s="10">
        <v>45988</v>
      </c>
      <c r="D181" s="18" t="str">
        <f t="shared" si="6"/>
        <v>November</v>
      </c>
      <c r="E181" s="11" t="str">
        <f t="shared" si="7"/>
        <v>2025</v>
      </c>
      <c r="F181" t="s">
        <v>32</v>
      </c>
      <c r="G181" s="2">
        <v>13744</v>
      </c>
      <c r="H181" s="2">
        <v>6665</v>
      </c>
      <c r="I181" s="2">
        <v>229</v>
      </c>
      <c r="J181" s="2">
        <v>76</v>
      </c>
      <c r="K181" s="2">
        <v>38</v>
      </c>
      <c r="L181" s="5">
        <f t="shared" si="8"/>
        <v>5.1462865716429107E-2</v>
      </c>
    </row>
    <row r="182" spans="1:12" x14ac:dyDescent="0.25">
      <c r="A182" t="s">
        <v>200</v>
      </c>
      <c r="B182" t="s">
        <v>14</v>
      </c>
      <c r="C182" s="10">
        <v>45815</v>
      </c>
      <c r="D182" s="18" t="str">
        <f t="shared" si="6"/>
        <v>June</v>
      </c>
      <c r="E182" s="11" t="str">
        <f t="shared" si="7"/>
        <v>2025</v>
      </c>
      <c r="F182" t="s">
        <v>18</v>
      </c>
      <c r="G182" s="2">
        <v>109761</v>
      </c>
      <c r="H182" s="2">
        <v>67645</v>
      </c>
      <c r="I182" s="2">
        <v>2000</v>
      </c>
      <c r="J182" s="2">
        <v>322</v>
      </c>
      <c r="K182" s="2">
        <v>89</v>
      </c>
      <c r="L182" s="5">
        <f t="shared" si="8"/>
        <v>3.5641954320348883E-2</v>
      </c>
    </row>
    <row r="183" spans="1:12" x14ac:dyDescent="0.25">
      <c r="A183" t="s">
        <v>201</v>
      </c>
      <c r="B183" t="s">
        <v>11</v>
      </c>
      <c r="C183" s="10">
        <v>45525</v>
      </c>
      <c r="D183" s="18" t="str">
        <f t="shared" si="6"/>
        <v>August</v>
      </c>
      <c r="E183" s="11" t="str">
        <f t="shared" si="7"/>
        <v>2024</v>
      </c>
      <c r="F183" t="s">
        <v>12</v>
      </c>
      <c r="G183" s="2">
        <v>19511</v>
      </c>
      <c r="H183" s="2">
        <v>5968</v>
      </c>
      <c r="I183" s="2">
        <v>204</v>
      </c>
      <c r="J183" s="2">
        <v>25</v>
      </c>
      <c r="K183" s="2">
        <v>111</v>
      </c>
      <c r="L183" s="5">
        <f t="shared" si="8"/>
        <v>5.6970509383378019E-2</v>
      </c>
    </row>
    <row r="184" spans="1:12" x14ac:dyDescent="0.25">
      <c r="A184" t="s">
        <v>202</v>
      </c>
      <c r="B184" t="s">
        <v>14</v>
      </c>
      <c r="C184" s="10">
        <v>45357</v>
      </c>
      <c r="D184" s="18" t="str">
        <f t="shared" si="6"/>
        <v>March</v>
      </c>
      <c r="E184" s="11" t="str">
        <f t="shared" si="7"/>
        <v>2024</v>
      </c>
      <c r="F184" t="s">
        <v>24</v>
      </c>
      <c r="G184" s="2">
        <v>44075</v>
      </c>
      <c r="H184" s="2">
        <v>26842</v>
      </c>
      <c r="I184" s="2">
        <v>936</v>
      </c>
      <c r="J184" s="2">
        <v>58</v>
      </c>
      <c r="K184" s="2">
        <v>224</v>
      </c>
      <c r="L184" s="5">
        <f t="shared" si="8"/>
        <v>4.5376648535876613E-2</v>
      </c>
    </row>
    <row r="185" spans="1:12" x14ac:dyDescent="0.25">
      <c r="A185" t="s">
        <v>203</v>
      </c>
      <c r="B185" t="s">
        <v>20</v>
      </c>
      <c r="C185" s="10">
        <v>45839</v>
      </c>
      <c r="D185" s="18" t="str">
        <f t="shared" si="6"/>
        <v>July</v>
      </c>
      <c r="E185" s="11" t="str">
        <f t="shared" si="7"/>
        <v>2025</v>
      </c>
      <c r="F185" t="s">
        <v>24</v>
      </c>
      <c r="G185" s="2">
        <v>430687</v>
      </c>
      <c r="H185" s="2">
        <v>221165</v>
      </c>
      <c r="I185" s="2">
        <v>19145</v>
      </c>
      <c r="J185" s="2">
        <v>1539</v>
      </c>
      <c r="K185" s="2">
        <v>8164</v>
      </c>
      <c r="L185" s="5">
        <f t="shared" si="8"/>
        <v>0.13043655189564352</v>
      </c>
    </row>
    <row r="186" spans="1:12" x14ac:dyDescent="0.25">
      <c r="A186" t="s">
        <v>204</v>
      </c>
      <c r="B186" t="s">
        <v>20</v>
      </c>
      <c r="C186" s="10">
        <v>45348</v>
      </c>
      <c r="D186" s="18" t="str">
        <f t="shared" si="6"/>
        <v>February</v>
      </c>
      <c r="E186" s="11" t="str">
        <f t="shared" si="7"/>
        <v>2024</v>
      </c>
      <c r="F186" t="s">
        <v>18</v>
      </c>
      <c r="G186" s="2">
        <v>180438</v>
      </c>
      <c r="H186" s="2">
        <v>122609</v>
      </c>
      <c r="I186" s="2">
        <v>11422</v>
      </c>
      <c r="J186" s="2">
        <v>3176</v>
      </c>
      <c r="K186" s="2">
        <v>4525</v>
      </c>
      <c r="L186" s="5">
        <f t="shared" si="8"/>
        <v>0.15596734334347398</v>
      </c>
    </row>
    <row r="187" spans="1:12" x14ac:dyDescent="0.25">
      <c r="A187" t="s">
        <v>205</v>
      </c>
      <c r="B187" t="s">
        <v>26</v>
      </c>
      <c r="C187" s="10">
        <v>45675</v>
      </c>
      <c r="D187" s="18" t="str">
        <f t="shared" si="6"/>
        <v>January</v>
      </c>
      <c r="E187" s="11" t="str">
        <f t="shared" si="7"/>
        <v>2025</v>
      </c>
      <c r="F187" t="s">
        <v>12</v>
      </c>
      <c r="G187" s="2">
        <v>14797</v>
      </c>
      <c r="H187" s="2">
        <v>8621</v>
      </c>
      <c r="I187" s="2">
        <v>192</v>
      </c>
      <c r="J187" s="2">
        <v>168</v>
      </c>
      <c r="K187" s="2">
        <v>35</v>
      </c>
      <c r="L187" s="5">
        <f t="shared" si="8"/>
        <v>4.5818350539380583E-2</v>
      </c>
    </row>
    <row r="188" spans="1:12" x14ac:dyDescent="0.25">
      <c r="A188" t="s">
        <v>206</v>
      </c>
      <c r="B188" t="s">
        <v>20</v>
      </c>
      <c r="C188" s="10">
        <v>45308</v>
      </c>
      <c r="D188" s="18" t="str">
        <f t="shared" si="6"/>
        <v>January</v>
      </c>
      <c r="E188" s="11" t="str">
        <f t="shared" si="7"/>
        <v>2024</v>
      </c>
      <c r="F188" t="s">
        <v>18</v>
      </c>
      <c r="G188" s="2">
        <v>69757</v>
      </c>
      <c r="H188" s="2">
        <v>40862</v>
      </c>
      <c r="I188" s="2">
        <v>3206</v>
      </c>
      <c r="J188" s="2">
        <v>1150</v>
      </c>
      <c r="K188" s="2">
        <v>1599</v>
      </c>
      <c r="L188" s="5">
        <f t="shared" si="8"/>
        <v>0.14573442318046106</v>
      </c>
    </row>
    <row r="189" spans="1:12" x14ac:dyDescent="0.25">
      <c r="A189" t="s">
        <v>207</v>
      </c>
      <c r="B189" t="s">
        <v>14</v>
      </c>
      <c r="C189" s="10">
        <v>45801</v>
      </c>
      <c r="D189" s="18" t="str">
        <f t="shared" si="6"/>
        <v>May</v>
      </c>
      <c r="E189" s="11" t="str">
        <f t="shared" si="7"/>
        <v>2025</v>
      </c>
      <c r="F189" t="s">
        <v>18</v>
      </c>
      <c r="G189" s="2">
        <v>38300</v>
      </c>
      <c r="H189" s="2">
        <v>28274</v>
      </c>
      <c r="I189" s="2">
        <v>777</v>
      </c>
      <c r="J189" s="2">
        <v>327</v>
      </c>
      <c r="K189" s="2">
        <v>100</v>
      </c>
      <c r="L189" s="5">
        <f t="shared" si="8"/>
        <v>4.2583292070453423E-2</v>
      </c>
    </row>
    <row r="190" spans="1:12" x14ac:dyDescent="0.25">
      <c r="A190" t="s">
        <v>208</v>
      </c>
      <c r="B190" t="s">
        <v>14</v>
      </c>
      <c r="C190" s="10">
        <v>45786</v>
      </c>
      <c r="D190" s="18" t="str">
        <f t="shared" si="6"/>
        <v>May</v>
      </c>
      <c r="E190" s="11" t="str">
        <f t="shared" si="7"/>
        <v>2025</v>
      </c>
      <c r="F190" t="s">
        <v>18</v>
      </c>
      <c r="G190" s="2">
        <v>81586</v>
      </c>
      <c r="H190" s="2">
        <v>63381</v>
      </c>
      <c r="I190" s="2">
        <v>4259</v>
      </c>
      <c r="J190" s="2">
        <v>802</v>
      </c>
      <c r="K190" s="2">
        <v>173</v>
      </c>
      <c r="L190" s="5">
        <f t="shared" si="8"/>
        <v>8.2579952982755084E-2</v>
      </c>
    </row>
    <row r="191" spans="1:12" x14ac:dyDescent="0.25">
      <c r="A191" t="s">
        <v>209</v>
      </c>
      <c r="B191" t="s">
        <v>20</v>
      </c>
      <c r="C191" s="10">
        <v>45488</v>
      </c>
      <c r="D191" s="18" t="str">
        <f t="shared" si="6"/>
        <v>July</v>
      </c>
      <c r="E191" s="11" t="str">
        <f t="shared" si="7"/>
        <v>2024</v>
      </c>
      <c r="F191" t="s">
        <v>18</v>
      </c>
      <c r="G191" s="2">
        <v>97177</v>
      </c>
      <c r="H191" s="2">
        <v>52716</v>
      </c>
      <c r="I191" s="2">
        <v>5662</v>
      </c>
      <c r="J191" s="2">
        <v>309</v>
      </c>
      <c r="K191" s="2">
        <v>1859</v>
      </c>
      <c r="L191" s="5">
        <f t="shared" si="8"/>
        <v>0.14853175506487593</v>
      </c>
    </row>
    <row r="192" spans="1:12" x14ac:dyDescent="0.25">
      <c r="A192" t="s">
        <v>210</v>
      </c>
      <c r="B192" t="s">
        <v>26</v>
      </c>
      <c r="C192" s="10">
        <v>45935</v>
      </c>
      <c r="D192" s="18" t="str">
        <f t="shared" si="6"/>
        <v>October</v>
      </c>
      <c r="E192" s="11" t="str">
        <f t="shared" si="7"/>
        <v>2025</v>
      </c>
      <c r="F192" t="s">
        <v>18</v>
      </c>
      <c r="G192" s="2">
        <v>18258</v>
      </c>
      <c r="H192" s="2">
        <v>9480</v>
      </c>
      <c r="I192" s="2">
        <v>373</v>
      </c>
      <c r="J192" s="2">
        <v>131</v>
      </c>
      <c r="K192" s="2">
        <v>52</v>
      </c>
      <c r="L192" s="5">
        <f t="shared" si="8"/>
        <v>5.8649789029535868E-2</v>
      </c>
    </row>
    <row r="193" spans="1:12" x14ac:dyDescent="0.25">
      <c r="A193" t="s">
        <v>211</v>
      </c>
      <c r="B193" t="s">
        <v>20</v>
      </c>
      <c r="C193" s="10">
        <v>45969</v>
      </c>
      <c r="D193" s="18" t="str">
        <f t="shared" si="6"/>
        <v>November</v>
      </c>
      <c r="E193" s="11" t="str">
        <f t="shared" si="7"/>
        <v>2025</v>
      </c>
      <c r="F193" t="s">
        <v>24</v>
      </c>
      <c r="G193" s="2">
        <v>157187</v>
      </c>
      <c r="H193" s="2">
        <v>56359</v>
      </c>
      <c r="I193" s="2">
        <v>4523</v>
      </c>
      <c r="J193" s="2">
        <v>1286</v>
      </c>
      <c r="K193" s="2">
        <v>2163</v>
      </c>
      <c r="L193" s="5">
        <f t="shared" si="8"/>
        <v>0.14145034510903315</v>
      </c>
    </row>
    <row r="194" spans="1:12" x14ac:dyDescent="0.25">
      <c r="A194" t="s">
        <v>212</v>
      </c>
      <c r="B194" t="s">
        <v>26</v>
      </c>
      <c r="C194" s="10">
        <v>45425</v>
      </c>
      <c r="D194" s="18" t="str">
        <f t="shared" si="6"/>
        <v>May</v>
      </c>
      <c r="E194" s="11" t="str">
        <f t="shared" si="7"/>
        <v>2024</v>
      </c>
      <c r="F194" t="s">
        <v>12</v>
      </c>
      <c r="G194" s="2">
        <v>8356</v>
      </c>
      <c r="H194" s="2">
        <v>3947</v>
      </c>
      <c r="I194" s="2">
        <v>209</v>
      </c>
      <c r="J194" s="2">
        <v>94</v>
      </c>
      <c r="K194" s="2">
        <v>34</v>
      </c>
      <c r="L194" s="5">
        <f t="shared" si="8"/>
        <v>8.5381302254877126E-2</v>
      </c>
    </row>
    <row r="195" spans="1:12" x14ac:dyDescent="0.25">
      <c r="A195" t="s">
        <v>213</v>
      </c>
      <c r="B195" t="s">
        <v>14</v>
      </c>
      <c r="C195" s="10">
        <v>45531</v>
      </c>
      <c r="D195" s="18" t="str">
        <f t="shared" ref="D195:D258" si="9">TEXT($C195,"MMMM")</f>
        <v>August</v>
      </c>
      <c r="E195" s="11" t="str">
        <f t="shared" ref="E195:E258" si="10">TEXT(C195,"yyyy")</f>
        <v>2024</v>
      </c>
      <c r="F195" t="s">
        <v>15</v>
      </c>
      <c r="G195" s="2">
        <v>34583</v>
      </c>
      <c r="H195" s="2">
        <v>25017</v>
      </c>
      <c r="I195" s="2">
        <v>1675</v>
      </c>
      <c r="J195" s="2">
        <v>194</v>
      </c>
      <c r="K195" s="2">
        <v>169</v>
      </c>
      <c r="L195" s="5">
        <f t="shared" ref="L195:L258" si="11">SUM(I195:K195)/H195</f>
        <v>8.1464604069232921E-2</v>
      </c>
    </row>
    <row r="196" spans="1:12" x14ac:dyDescent="0.25">
      <c r="A196" t="s">
        <v>214</v>
      </c>
      <c r="B196" t="s">
        <v>14</v>
      </c>
      <c r="C196" s="10">
        <v>45587</v>
      </c>
      <c r="D196" s="18" t="str">
        <f t="shared" si="9"/>
        <v>October</v>
      </c>
      <c r="E196" s="11" t="str">
        <f t="shared" si="10"/>
        <v>2024</v>
      </c>
      <c r="F196" t="s">
        <v>32</v>
      </c>
      <c r="G196" s="2">
        <v>36439</v>
      </c>
      <c r="H196" s="2">
        <v>25902</v>
      </c>
      <c r="I196" s="2">
        <v>1663</v>
      </c>
      <c r="J196" s="2">
        <v>143</v>
      </c>
      <c r="K196" s="2">
        <v>169</v>
      </c>
      <c r="L196" s="5">
        <f t="shared" si="11"/>
        <v>7.6248938305922317E-2</v>
      </c>
    </row>
    <row r="197" spans="1:12" x14ac:dyDescent="0.25">
      <c r="A197" t="s">
        <v>215</v>
      </c>
      <c r="B197" t="s">
        <v>14</v>
      </c>
      <c r="C197" s="10">
        <v>45689</v>
      </c>
      <c r="D197" s="18" t="str">
        <f t="shared" si="9"/>
        <v>February</v>
      </c>
      <c r="E197" s="11" t="str">
        <f t="shared" si="10"/>
        <v>2025</v>
      </c>
      <c r="F197" t="s">
        <v>32</v>
      </c>
      <c r="G197" s="2">
        <v>50268</v>
      </c>
      <c r="H197" s="2">
        <v>32640</v>
      </c>
      <c r="I197" s="2">
        <v>1559</v>
      </c>
      <c r="J197" s="2">
        <v>313</v>
      </c>
      <c r="K197" s="2">
        <v>34</v>
      </c>
      <c r="L197" s="5">
        <f t="shared" si="11"/>
        <v>5.8394607843137256E-2</v>
      </c>
    </row>
    <row r="198" spans="1:12" x14ac:dyDescent="0.25">
      <c r="A198" t="s">
        <v>216</v>
      </c>
      <c r="B198" t="s">
        <v>20</v>
      </c>
      <c r="C198" s="10">
        <v>45841</v>
      </c>
      <c r="D198" s="18" t="str">
        <f t="shared" si="9"/>
        <v>July</v>
      </c>
      <c r="E198" s="11" t="str">
        <f t="shared" si="10"/>
        <v>2025</v>
      </c>
      <c r="F198" t="s">
        <v>18</v>
      </c>
      <c r="G198" s="2">
        <v>185050</v>
      </c>
      <c r="H198" s="2">
        <v>80995</v>
      </c>
      <c r="I198" s="2">
        <v>6766</v>
      </c>
      <c r="J198" s="2">
        <v>1185</v>
      </c>
      <c r="K198" s="2">
        <v>3765</v>
      </c>
      <c r="L198" s="5">
        <f t="shared" si="11"/>
        <v>0.14465090437681338</v>
      </c>
    </row>
    <row r="199" spans="1:12" x14ac:dyDescent="0.25">
      <c r="A199" t="s">
        <v>217</v>
      </c>
      <c r="B199" t="s">
        <v>20</v>
      </c>
      <c r="C199" s="10">
        <v>45616</v>
      </c>
      <c r="D199" s="18" t="str">
        <f t="shared" si="9"/>
        <v>November</v>
      </c>
      <c r="E199" s="11" t="str">
        <f t="shared" si="10"/>
        <v>2024</v>
      </c>
      <c r="F199" t="s">
        <v>24</v>
      </c>
      <c r="G199" s="2">
        <v>8500</v>
      </c>
      <c r="H199" s="2">
        <v>3932</v>
      </c>
      <c r="I199" s="2">
        <v>269</v>
      </c>
      <c r="J199" s="2">
        <v>68</v>
      </c>
      <c r="K199" s="2">
        <v>68</v>
      </c>
      <c r="L199" s="5">
        <f t="shared" si="11"/>
        <v>0.10300101729399797</v>
      </c>
    </row>
    <row r="200" spans="1:12" x14ac:dyDescent="0.25">
      <c r="A200" t="s">
        <v>218</v>
      </c>
      <c r="B200" t="s">
        <v>20</v>
      </c>
      <c r="C200" s="10">
        <v>45370</v>
      </c>
      <c r="D200" s="18" t="str">
        <f t="shared" si="9"/>
        <v>March</v>
      </c>
      <c r="E200" s="11" t="str">
        <f t="shared" si="10"/>
        <v>2024</v>
      </c>
      <c r="F200" t="s">
        <v>24</v>
      </c>
      <c r="G200" s="2">
        <v>91908</v>
      </c>
      <c r="H200" s="2">
        <v>52531</v>
      </c>
      <c r="I200" s="2">
        <v>3626</v>
      </c>
      <c r="J200" s="2">
        <v>1542</v>
      </c>
      <c r="K200" s="2">
        <v>682</v>
      </c>
      <c r="L200" s="5">
        <f t="shared" si="11"/>
        <v>0.11136281433820031</v>
      </c>
    </row>
    <row r="201" spans="1:12" x14ac:dyDescent="0.25">
      <c r="A201" t="s">
        <v>219</v>
      </c>
      <c r="B201" t="s">
        <v>20</v>
      </c>
      <c r="C201" s="10">
        <v>45621</v>
      </c>
      <c r="D201" s="18" t="str">
        <f t="shared" si="9"/>
        <v>November</v>
      </c>
      <c r="E201" s="11" t="str">
        <f t="shared" si="10"/>
        <v>2024</v>
      </c>
      <c r="F201" t="s">
        <v>24</v>
      </c>
      <c r="G201" s="2">
        <v>413749</v>
      </c>
      <c r="H201" s="2">
        <v>151849</v>
      </c>
      <c r="I201" s="2">
        <v>8225</v>
      </c>
      <c r="J201" s="2">
        <v>3789</v>
      </c>
      <c r="K201" s="2">
        <v>6535</v>
      </c>
      <c r="L201" s="5">
        <f t="shared" si="11"/>
        <v>0.12215424533582704</v>
      </c>
    </row>
    <row r="202" spans="1:12" x14ac:dyDescent="0.25">
      <c r="A202" t="s">
        <v>220</v>
      </c>
      <c r="B202" t="s">
        <v>20</v>
      </c>
      <c r="C202" s="10">
        <v>45837</v>
      </c>
      <c r="D202" s="18" t="str">
        <f t="shared" si="9"/>
        <v>June</v>
      </c>
      <c r="E202" s="11" t="str">
        <f t="shared" si="10"/>
        <v>2025</v>
      </c>
      <c r="F202" t="s">
        <v>24</v>
      </c>
      <c r="G202" s="2">
        <v>9232</v>
      </c>
      <c r="H202" s="2">
        <v>5820</v>
      </c>
      <c r="I202" s="2">
        <v>537</v>
      </c>
      <c r="J202" s="2">
        <v>83</v>
      </c>
      <c r="K202" s="2">
        <v>63</v>
      </c>
      <c r="L202" s="5">
        <f t="shared" si="11"/>
        <v>0.11735395189003436</v>
      </c>
    </row>
    <row r="203" spans="1:12" x14ac:dyDescent="0.25">
      <c r="A203" t="s">
        <v>221</v>
      </c>
      <c r="B203" t="s">
        <v>26</v>
      </c>
      <c r="C203" s="10">
        <v>45636</v>
      </c>
      <c r="D203" s="18" t="str">
        <f t="shared" si="9"/>
        <v>December</v>
      </c>
      <c r="E203" s="11" t="str">
        <f t="shared" si="10"/>
        <v>2024</v>
      </c>
      <c r="F203" t="s">
        <v>15</v>
      </c>
      <c r="G203" s="2">
        <v>11698</v>
      </c>
      <c r="H203" s="2">
        <v>6309</v>
      </c>
      <c r="I203" s="2">
        <v>309</v>
      </c>
      <c r="J203" s="2">
        <v>75</v>
      </c>
      <c r="K203" s="2">
        <v>89</v>
      </c>
      <c r="L203" s="5">
        <f t="shared" si="11"/>
        <v>7.4972261848153435E-2</v>
      </c>
    </row>
    <row r="204" spans="1:12" x14ac:dyDescent="0.25">
      <c r="A204" t="s">
        <v>222</v>
      </c>
      <c r="B204" t="s">
        <v>20</v>
      </c>
      <c r="C204" s="10">
        <v>45866</v>
      </c>
      <c r="D204" s="18" t="str">
        <f t="shared" si="9"/>
        <v>July</v>
      </c>
      <c r="E204" s="11" t="str">
        <f t="shared" si="10"/>
        <v>2025</v>
      </c>
      <c r="F204" t="s">
        <v>24</v>
      </c>
      <c r="G204" s="2">
        <v>224484</v>
      </c>
      <c r="H204" s="2">
        <v>155989</v>
      </c>
      <c r="I204" s="2">
        <v>12346</v>
      </c>
      <c r="J204" s="2">
        <v>838</v>
      </c>
      <c r="K204" s="2">
        <v>2127</v>
      </c>
      <c r="L204" s="5">
        <f t="shared" si="11"/>
        <v>9.815435703799627E-2</v>
      </c>
    </row>
    <row r="205" spans="1:12" x14ac:dyDescent="0.25">
      <c r="A205" t="s">
        <v>223</v>
      </c>
      <c r="B205" t="s">
        <v>20</v>
      </c>
      <c r="C205" s="10">
        <v>46004</v>
      </c>
      <c r="D205" s="18" t="str">
        <f t="shared" si="9"/>
        <v>December</v>
      </c>
      <c r="E205" s="11" t="str">
        <f t="shared" si="10"/>
        <v>2025</v>
      </c>
      <c r="F205" t="s">
        <v>24</v>
      </c>
      <c r="G205" s="2">
        <v>199572</v>
      </c>
      <c r="H205" s="2">
        <v>69186</v>
      </c>
      <c r="I205" s="2">
        <v>2368</v>
      </c>
      <c r="J205" s="2">
        <v>369</v>
      </c>
      <c r="K205" s="2">
        <v>841</v>
      </c>
      <c r="L205" s="5">
        <f t="shared" si="11"/>
        <v>5.1715665018934466E-2</v>
      </c>
    </row>
    <row r="206" spans="1:12" x14ac:dyDescent="0.25">
      <c r="A206" t="s">
        <v>224</v>
      </c>
      <c r="B206" t="s">
        <v>26</v>
      </c>
      <c r="C206" s="10">
        <v>45673</v>
      </c>
      <c r="D206" s="18" t="str">
        <f t="shared" si="9"/>
        <v>January</v>
      </c>
      <c r="E206" s="11" t="str">
        <f t="shared" si="10"/>
        <v>2025</v>
      </c>
      <c r="F206" t="s">
        <v>12</v>
      </c>
      <c r="G206" s="2">
        <v>4192</v>
      </c>
      <c r="H206" s="2">
        <v>2166</v>
      </c>
      <c r="I206" s="2">
        <v>35</v>
      </c>
      <c r="J206" s="2">
        <v>19</v>
      </c>
      <c r="K206" s="2">
        <v>15</v>
      </c>
      <c r="L206" s="5">
        <f t="shared" si="11"/>
        <v>3.1855955678670361E-2</v>
      </c>
    </row>
    <row r="207" spans="1:12" x14ac:dyDescent="0.25">
      <c r="A207" t="s">
        <v>225</v>
      </c>
      <c r="B207" t="s">
        <v>17</v>
      </c>
      <c r="C207" s="10">
        <v>45897</v>
      </c>
      <c r="D207" s="18" t="str">
        <f t="shared" si="9"/>
        <v>August</v>
      </c>
      <c r="E207" s="11" t="str">
        <f t="shared" si="10"/>
        <v>2025</v>
      </c>
      <c r="F207" t="s">
        <v>15</v>
      </c>
      <c r="G207" s="2">
        <v>411</v>
      </c>
      <c r="H207" s="2">
        <v>283</v>
      </c>
      <c r="I207" s="2">
        <v>2</v>
      </c>
      <c r="J207" s="2">
        <v>2</v>
      </c>
      <c r="K207" s="2">
        <v>4</v>
      </c>
      <c r="L207" s="5">
        <f t="shared" si="11"/>
        <v>2.8268551236749116E-2</v>
      </c>
    </row>
    <row r="208" spans="1:12" x14ac:dyDescent="0.25">
      <c r="A208" t="s">
        <v>226</v>
      </c>
      <c r="B208" t="s">
        <v>20</v>
      </c>
      <c r="C208" s="10">
        <v>45313</v>
      </c>
      <c r="D208" s="18" t="str">
        <f t="shared" si="9"/>
        <v>January</v>
      </c>
      <c r="E208" s="11" t="str">
        <f t="shared" si="10"/>
        <v>2024</v>
      </c>
      <c r="F208" t="s">
        <v>18</v>
      </c>
      <c r="G208" s="2">
        <v>317455</v>
      </c>
      <c r="H208" s="2">
        <v>177637</v>
      </c>
      <c r="I208" s="2">
        <v>10516</v>
      </c>
      <c r="J208" s="2">
        <v>4747</v>
      </c>
      <c r="K208" s="2">
        <v>5219</v>
      </c>
      <c r="L208" s="5">
        <f t="shared" si="11"/>
        <v>0.11530255521090764</v>
      </c>
    </row>
    <row r="209" spans="1:12" x14ac:dyDescent="0.25">
      <c r="A209" t="s">
        <v>227</v>
      </c>
      <c r="B209" t="s">
        <v>17</v>
      </c>
      <c r="C209" s="10">
        <v>45468</v>
      </c>
      <c r="D209" s="18" t="str">
        <f t="shared" si="9"/>
        <v>June</v>
      </c>
      <c r="E209" s="11" t="str">
        <f t="shared" si="10"/>
        <v>2024</v>
      </c>
      <c r="F209" t="s">
        <v>12</v>
      </c>
      <c r="G209" s="2">
        <v>23747</v>
      </c>
      <c r="H209" s="2">
        <v>13149</v>
      </c>
      <c r="I209" s="2">
        <v>283</v>
      </c>
      <c r="J209" s="2">
        <v>76</v>
      </c>
      <c r="K209" s="2">
        <v>215</v>
      </c>
      <c r="L209" s="5">
        <f t="shared" si="11"/>
        <v>4.3653509772606285E-2</v>
      </c>
    </row>
    <row r="210" spans="1:12" x14ac:dyDescent="0.25">
      <c r="A210" t="s">
        <v>228</v>
      </c>
      <c r="B210" t="s">
        <v>20</v>
      </c>
      <c r="C210" s="10">
        <v>46007</v>
      </c>
      <c r="D210" s="18" t="str">
        <f t="shared" si="9"/>
        <v>December</v>
      </c>
      <c r="E210" s="11" t="str">
        <f t="shared" si="10"/>
        <v>2025</v>
      </c>
      <c r="F210" t="s">
        <v>18</v>
      </c>
      <c r="G210" s="2">
        <v>272386</v>
      </c>
      <c r="H210" s="2">
        <v>146612</v>
      </c>
      <c r="I210" s="2">
        <v>6631</v>
      </c>
      <c r="J210" s="2">
        <v>1981</v>
      </c>
      <c r="K210" s="2">
        <v>1699</v>
      </c>
      <c r="L210" s="5">
        <f t="shared" si="11"/>
        <v>7.0328486072081406E-2</v>
      </c>
    </row>
    <row r="211" spans="1:12" x14ac:dyDescent="0.25">
      <c r="A211" t="s">
        <v>229</v>
      </c>
      <c r="B211" t="s">
        <v>14</v>
      </c>
      <c r="C211" s="10">
        <v>45514</v>
      </c>
      <c r="D211" s="18" t="str">
        <f t="shared" si="9"/>
        <v>August</v>
      </c>
      <c r="E211" s="11" t="str">
        <f t="shared" si="10"/>
        <v>2024</v>
      </c>
      <c r="F211" t="s">
        <v>32</v>
      </c>
      <c r="G211" s="2">
        <v>20635</v>
      </c>
      <c r="H211" s="2">
        <v>14246</v>
      </c>
      <c r="I211" s="2">
        <v>412</v>
      </c>
      <c r="J211" s="2">
        <v>41</v>
      </c>
      <c r="K211" s="2">
        <v>94</v>
      </c>
      <c r="L211" s="5">
        <f t="shared" si="11"/>
        <v>3.8396742945388182E-2</v>
      </c>
    </row>
    <row r="212" spans="1:12" x14ac:dyDescent="0.25">
      <c r="A212" t="s">
        <v>230</v>
      </c>
      <c r="B212" t="s">
        <v>20</v>
      </c>
      <c r="C212" s="10">
        <v>45422</v>
      </c>
      <c r="D212" s="18" t="str">
        <f t="shared" si="9"/>
        <v>May</v>
      </c>
      <c r="E212" s="11" t="str">
        <f t="shared" si="10"/>
        <v>2024</v>
      </c>
      <c r="F212" t="s">
        <v>18</v>
      </c>
      <c r="G212" s="2">
        <v>512834</v>
      </c>
      <c r="H212" s="2">
        <v>214531</v>
      </c>
      <c r="I212" s="2">
        <v>20672</v>
      </c>
      <c r="J212" s="2">
        <v>2667</v>
      </c>
      <c r="K212" s="2">
        <v>9009</v>
      </c>
      <c r="L212" s="5">
        <f t="shared" si="11"/>
        <v>0.15078473507325282</v>
      </c>
    </row>
    <row r="213" spans="1:12" x14ac:dyDescent="0.25">
      <c r="A213" t="s">
        <v>231</v>
      </c>
      <c r="B213" t="s">
        <v>14</v>
      </c>
      <c r="C213" s="10">
        <v>45392</v>
      </c>
      <c r="D213" s="18" t="str">
        <f t="shared" si="9"/>
        <v>April</v>
      </c>
      <c r="E213" s="11" t="str">
        <f t="shared" si="10"/>
        <v>2024</v>
      </c>
      <c r="F213" t="s">
        <v>18</v>
      </c>
      <c r="G213" s="2">
        <v>81281</v>
      </c>
      <c r="H213" s="2">
        <v>55901</v>
      </c>
      <c r="I213" s="2">
        <v>3726</v>
      </c>
      <c r="J213" s="2">
        <v>831</v>
      </c>
      <c r="K213" s="2">
        <v>268</v>
      </c>
      <c r="L213" s="5">
        <f t="shared" si="11"/>
        <v>8.6313303876495953E-2</v>
      </c>
    </row>
    <row r="214" spans="1:12" x14ac:dyDescent="0.25">
      <c r="A214" t="s">
        <v>232</v>
      </c>
      <c r="B214" t="s">
        <v>26</v>
      </c>
      <c r="C214" s="10">
        <v>45817</v>
      </c>
      <c r="D214" s="18" t="str">
        <f t="shared" si="9"/>
        <v>June</v>
      </c>
      <c r="E214" s="11" t="str">
        <f t="shared" si="10"/>
        <v>2025</v>
      </c>
      <c r="F214" t="s">
        <v>15</v>
      </c>
      <c r="G214" s="2">
        <v>9256</v>
      </c>
      <c r="H214" s="2">
        <v>6568</v>
      </c>
      <c r="I214" s="2">
        <v>314</v>
      </c>
      <c r="J214" s="2">
        <v>111</v>
      </c>
      <c r="K214" s="2">
        <v>79</v>
      </c>
      <c r="L214" s="5">
        <f t="shared" si="11"/>
        <v>7.6735688185140066E-2</v>
      </c>
    </row>
    <row r="215" spans="1:12" x14ac:dyDescent="0.25">
      <c r="A215" t="s">
        <v>233</v>
      </c>
      <c r="B215" t="s">
        <v>26</v>
      </c>
      <c r="C215" s="10">
        <v>45525</v>
      </c>
      <c r="D215" s="18" t="str">
        <f t="shared" si="9"/>
        <v>August</v>
      </c>
      <c r="E215" s="11" t="str">
        <f t="shared" si="10"/>
        <v>2024</v>
      </c>
      <c r="F215" t="s">
        <v>15</v>
      </c>
      <c r="G215" s="2">
        <v>19703</v>
      </c>
      <c r="H215" s="2">
        <v>15340</v>
      </c>
      <c r="I215" s="2">
        <v>703</v>
      </c>
      <c r="J215" s="2">
        <v>148</v>
      </c>
      <c r="K215" s="2">
        <v>216</v>
      </c>
      <c r="L215" s="5">
        <f t="shared" si="11"/>
        <v>6.9556714471968706E-2</v>
      </c>
    </row>
    <row r="216" spans="1:12" x14ac:dyDescent="0.25">
      <c r="A216" t="s">
        <v>234</v>
      </c>
      <c r="B216" t="s">
        <v>14</v>
      </c>
      <c r="C216" s="10">
        <v>45876</v>
      </c>
      <c r="D216" s="18" t="str">
        <f t="shared" si="9"/>
        <v>August</v>
      </c>
      <c r="E216" s="11" t="str">
        <f t="shared" si="10"/>
        <v>2025</v>
      </c>
      <c r="F216" t="s">
        <v>32</v>
      </c>
      <c r="G216" s="2">
        <v>55527</v>
      </c>
      <c r="H216" s="2">
        <v>38154</v>
      </c>
      <c r="I216" s="2">
        <v>2627</v>
      </c>
      <c r="J216" s="2">
        <v>441</v>
      </c>
      <c r="K216" s="2">
        <v>77</v>
      </c>
      <c r="L216" s="5">
        <f t="shared" si="11"/>
        <v>8.2429103108455207E-2</v>
      </c>
    </row>
    <row r="217" spans="1:12" x14ac:dyDescent="0.25">
      <c r="A217" t="s">
        <v>235</v>
      </c>
      <c r="B217" t="s">
        <v>14</v>
      </c>
      <c r="C217" s="10">
        <v>45941</v>
      </c>
      <c r="D217" s="18" t="str">
        <f t="shared" si="9"/>
        <v>October</v>
      </c>
      <c r="E217" s="11" t="str">
        <f t="shared" si="10"/>
        <v>2025</v>
      </c>
      <c r="F217" t="s">
        <v>15</v>
      </c>
      <c r="G217" s="2">
        <v>2387</v>
      </c>
      <c r="H217" s="2">
        <v>1855</v>
      </c>
      <c r="I217" s="2">
        <v>38</v>
      </c>
      <c r="J217" s="2">
        <v>17</v>
      </c>
      <c r="K217" s="2">
        <v>11</v>
      </c>
      <c r="L217" s="5">
        <f t="shared" si="11"/>
        <v>3.5579514824797841E-2</v>
      </c>
    </row>
    <row r="218" spans="1:12" x14ac:dyDescent="0.25">
      <c r="A218" t="s">
        <v>236</v>
      </c>
      <c r="B218" t="s">
        <v>14</v>
      </c>
      <c r="C218" s="10">
        <v>45330</v>
      </c>
      <c r="D218" s="18" t="str">
        <f t="shared" si="9"/>
        <v>February</v>
      </c>
      <c r="E218" s="11" t="str">
        <f t="shared" si="10"/>
        <v>2024</v>
      </c>
      <c r="F218" t="s">
        <v>18</v>
      </c>
      <c r="G218" s="2">
        <v>84477</v>
      </c>
      <c r="H218" s="2">
        <v>42276</v>
      </c>
      <c r="I218" s="2">
        <v>1552</v>
      </c>
      <c r="J218" s="2">
        <v>374</v>
      </c>
      <c r="K218" s="2">
        <v>331</v>
      </c>
      <c r="L218" s="5">
        <f t="shared" si="11"/>
        <v>5.3387264641877187E-2</v>
      </c>
    </row>
    <row r="219" spans="1:12" x14ac:dyDescent="0.25">
      <c r="A219" t="s">
        <v>237</v>
      </c>
      <c r="B219" t="s">
        <v>14</v>
      </c>
      <c r="C219" s="10">
        <v>45312</v>
      </c>
      <c r="D219" s="18" t="str">
        <f t="shared" si="9"/>
        <v>January</v>
      </c>
      <c r="E219" s="11" t="str">
        <f t="shared" si="10"/>
        <v>2024</v>
      </c>
      <c r="F219" t="s">
        <v>18</v>
      </c>
      <c r="G219" s="2">
        <v>21725</v>
      </c>
      <c r="H219" s="2">
        <v>10248</v>
      </c>
      <c r="I219" s="2">
        <v>233</v>
      </c>
      <c r="J219" s="2">
        <v>103</v>
      </c>
      <c r="K219" s="2">
        <v>87</v>
      </c>
      <c r="L219" s="5">
        <f t="shared" si="11"/>
        <v>4.1276346604215454E-2</v>
      </c>
    </row>
    <row r="220" spans="1:12" x14ac:dyDescent="0.25">
      <c r="A220" t="s">
        <v>238</v>
      </c>
      <c r="B220" t="s">
        <v>26</v>
      </c>
      <c r="C220" s="10">
        <v>45584</v>
      </c>
      <c r="D220" s="18" t="str">
        <f t="shared" si="9"/>
        <v>October</v>
      </c>
      <c r="E220" s="11" t="str">
        <f t="shared" si="10"/>
        <v>2024</v>
      </c>
      <c r="F220" t="s">
        <v>18</v>
      </c>
      <c r="G220" s="2">
        <v>19152</v>
      </c>
      <c r="H220" s="2">
        <v>8690</v>
      </c>
      <c r="I220" s="2">
        <v>181</v>
      </c>
      <c r="J220" s="2">
        <v>50</v>
      </c>
      <c r="K220" s="2">
        <v>69</v>
      </c>
      <c r="L220" s="5">
        <f t="shared" si="11"/>
        <v>3.4522439585730723E-2</v>
      </c>
    </row>
    <row r="221" spans="1:12" x14ac:dyDescent="0.25">
      <c r="A221" t="s">
        <v>239</v>
      </c>
      <c r="B221" t="s">
        <v>14</v>
      </c>
      <c r="C221" s="10">
        <v>45627</v>
      </c>
      <c r="D221" s="18" t="str">
        <f t="shared" si="9"/>
        <v>December</v>
      </c>
      <c r="E221" s="11" t="str">
        <f t="shared" si="10"/>
        <v>2024</v>
      </c>
      <c r="F221" t="s">
        <v>24</v>
      </c>
      <c r="G221" s="2">
        <v>69366</v>
      </c>
      <c r="H221" s="2">
        <v>28833</v>
      </c>
      <c r="I221" s="2">
        <v>797</v>
      </c>
      <c r="J221" s="2">
        <v>111</v>
      </c>
      <c r="K221" s="2">
        <v>260</v>
      </c>
      <c r="L221" s="5">
        <f t="shared" si="11"/>
        <v>4.0509138833974959E-2</v>
      </c>
    </row>
    <row r="222" spans="1:12" x14ac:dyDescent="0.25">
      <c r="A222" t="s">
        <v>240</v>
      </c>
      <c r="B222" t="s">
        <v>20</v>
      </c>
      <c r="C222" s="10">
        <v>46014</v>
      </c>
      <c r="D222" s="18" t="str">
        <f t="shared" si="9"/>
        <v>December</v>
      </c>
      <c r="E222" s="11" t="str">
        <f t="shared" si="10"/>
        <v>2025</v>
      </c>
      <c r="F222" t="s">
        <v>18</v>
      </c>
      <c r="G222" s="2">
        <v>309128</v>
      </c>
      <c r="H222" s="2">
        <v>121115</v>
      </c>
      <c r="I222" s="2">
        <v>6789</v>
      </c>
      <c r="J222" s="2">
        <v>2965</v>
      </c>
      <c r="K222" s="2">
        <v>5670</v>
      </c>
      <c r="L222" s="5">
        <f t="shared" si="11"/>
        <v>0.12735003921892415</v>
      </c>
    </row>
    <row r="223" spans="1:12" x14ac:dyDescent="0.25">
      <c r="A223" t="s">
        <v>241</v>
      </c>
      <c r="B223" t="s">
        <v>14</v>
      </c>
      <c r="C223" s="10">
        <v>45884</v>
      </c>
      <c r="D223" s="18" t="str">
        <f t="shared" si="9"/>
        <v>August</v>
      </c>
      <c r="E223" s="11" t="str">
        <f t="shared" si="10"/>
        <v>2025</v>
      </c>
      <c r="F223" t="s">
        <v>32</v>
      </c>
      <c r="G223" s="2">
        <v>35463</v>
      </c>
      <c r="H223" s="2">
        <v>16917</v>
      </c>
      <c r="I223" s="2">
        <v>948</v>
      </c>
      <c r="J223" s="2">
        <v>107</v>
      </c>
      <c r="K223" s="2">
        <v>99</v>
      </c>
      <c r="L223" s="5">
        <f t="shared" si="11"/>
        <v>6.8215404622569017E-2</v>
      </c>
    </row>
    <row r="224" spans="1:12" x14ac:dyDescent="0.25">
      <c r="A224" t="s">
        <v>242</v>
      </c>
      <c r="B224" t="s">
        <v>20</v>
      </c>
      <c r="C224" s="10">
        <v>45502</v>
      </c>
      <c r="D224" s="18" t="str">
        <f t="shared" si="9"/>
        <v>July</v>
      </c>
      <c r="E224" s="11" t="str">
        <f t="shared" si="10"/>
        <v>2024</v>
      </c>
      <c r="F224" t="s">
        <v>24</v>
      </c>
      <c r="G224" s="2">
        <v>346346</v>
      </c>
      <c r="H224" s="2">
        <v>130370</v>
      </c>
      <c r="I224" s="2">
        <v>12843</v>
      </c>
      <c r="J224" s="2">
        <v>1781</v>
      </c>
      <c r="K224" s="2">
        <v>5513</v>
      </c>
      <c r="L224" s="5">
        <f t="shared" si="11"/>
        <v>0.15446038198972156</v>
      </c>
    </row>
    <row r="225" spans="1:12" x14ac:dyDescent="0.25">
      <c r="A225" t="s">
        <v>243</v>
      </c>
      <c r="B225" t="s">
        <v>11</v>
      </c>
      <c r="C225" s="10">
        <v>45599</v>
      </c>
      <c r="D225" s="18" t="str">
        <f t="shared" si="9"/>
        <v>November</v>
      </c>
      <c r="E225" s="11" t="str">
        <f t="shared" si="10"/>
        <v>2024</v>
      </c>
      <c r="F225" t="s">
        <v>15</v>
      </c>
      <c r="G225" s="2">
        <v>1243</v>
      </c>
      <c r="H225" s="2">
        <v>485</v>
      </c>
      <c r="I225" s="2">
        <v>24</v>
      </c>
      <c r="J225" s="2">
        <v>9</v>
      </c>
      <c r="K225" s="2">
        <v>9</v>
      </c>
      <c r="L225" s="5">
        <f t="shared" si="11"/>
        <v>8.6597938144329895E-2</v>
      </c>
    </row>
    <row r="226" spans="1:12" x14ac:dyDescent="0.25">
      <c r="A226" t="s">
        <v>244</v>
      </c>
      <c r="B226" t="s">
        <v>20</v>
      </c>
      <c r="C226" s="10">
        <v>45359</v>
      </c>
      <c r="D226" s="18" t="str">
        <f t="shared" si="9"/>
        <v>March</v>
      </c>
      <c r="E226" s="11" t="str">
        <f t="shared" si="10"/>
        <v>2024</v>
      </c>
      <c r="F226" t="s">
        <v>24</v>
      </c>
      <c r="G226" s="2">
        <v>67913</v>
      </c>
      <c r="H226" s="2">
        <v>33045</v>
      </c>
      <c r="I226" s="2">
        <v>2727</v>
      </c>
      <c r="J226" s="2">
        <v>402</v>
      </c>
      <c r="K226" s="2">
        <v>1198</v>
      </c>
      <c r="L226" s="5">
        <f t="shared" si="11"/>
        <v>0.13094265395672569</v>
      </c>
    </row>
    <row r="227" spans="1:12" x14ac:dyDescent="0.25">
      <c r="A227" t="s">
        <v>245</v>
      </c>
      <c r="B227" t="s">
        <v>14</v>
      </c>
      <c r="C227" s="10">
        <v>45610</v>
      </c>
      <c r="D227" s="18" t="str">
        <f t="shared" si="9"/>
        <v>November</v>
      </c>
      <c r="E227" s="11" t="str">
        <f t="shared" si="10"/>
        <v>2024</v>
      </c>
      <c r="F227" t="s">
        <v>15</v>
      </c>
      <c r="G227" s="2">
        <v>22677</v>
      </c>
      <c r="H227" s="2">
        <v>15868</v>
      </c>
      <c r="I227" s="2">
        <v>334</v>
      </c>
      <c r="J227" s="2">
        <v>211</v>
      </c>
      <c r="K227" s="2">
        <v>112</v>
      </c>
      <c r="L227" s="5">
        <f t="shared" si="11"/>
        <v>4.1404083690446181E-2</v>
      </c>
    </row>
    <row r="228" spans="1:12" x14ac:dyDescent="0.25">
      <c r="A228" t="s">
        <v>246</v>
      </c>
      <c r="B228" t="s">
        <v>14</v>
      </c>
      <c r="C228" s="10">
        <v>45419</v>
      </c>
      <c r="D228" s="18" t="str">
        <f t="shared" si="9"/>
        <v>May</v>
      </c>
      <c r="E228" s="11" t="str">
        <f t="shared" si="10"/>
        <v>2024</v>
      </c>
      <c r="F228" t="s">
        <v>24</v>
      </c>
      <c r="G228" s="2">
        <v>69409</v>
      </c>
      <c r="H228" s="2">
        <v>48074</v>
      </c>
      <c r="I228" s="2">
        <v>1798</v>
      </c>
      <c r="J228" s="2">
        <v>526</v>
      </c>
      <c r="K228" s="2">
        <v>444</v>
      </c>
      <c r="L228" s="5">
        <f t="shared" si="11"/>
        <v>5.7577900736364769E-2</v>
      </c>
    </row>
    <row r="229" spans="1:12" x14ac:dyDescent="0.25">
      <c r="A229" t="s">
        <v>247</v>
      </c>
      <c r="B229" t="s">
        <v>14</v>
      </c>
      <c r="C229" s="10">
        <v>45928</v>
      </c>
      <c r="D229" s="18" t="str">
        <f t="shared" si="9"/>
        <v>September</v>
      </c>
      <c r="E229" s="11" t="str">
        <f t="shared" si="10"/>
        <v>2025</v>
      </c>
      <c r="F229" t="s">
        <v>24</v>
      </c>
      <c r="G229" s="2">
        <v>84665</v>
      </c>
      <c r="H229" s="2">
        <v>39276</v>
      </c>
      <c r="I229" s="2">
        <v>2976</v>
      </c>
      <c r="J229" s="2">
        <v>361</v>
      </c>
      <c r="K229" s="2">
        <v>291</v>
      </c>
      <c r="L229" s="5">
        <f t="shared" si="11"/>
        <v>9.2371931968632248E-2</v>
      </c>
    </row>
    <row r="230" spans="1:12" x14ac:dyDescent="0.25">
      <c r="A230" t="s">
        <v>248</v>
      </c>
      <c r="B230" t="s">
        <v>14</v>
      </c>
      <c r="C230" s="10">
        <v>45564</v>
      </c>
      <c r="D230" s="18" t="str">
        <f t="shared" si="9"/>
        <v>September</v>
      </c>
      <c r="E230" s="11" t="str">
        <f t="shared" si="10"/>
        <v>2024</v>
      </c>
      <c r="F230" t="s">
        <v>18</v>
      </c>
      <c r="G230" s="2">
        <v>69804</v>
      </c>
      <c r="H230" s="2">
        <v>44744</v>
      </c>
      <c r="I230" s="2">
        <v>2608</v>
      </c>
      <c r="J230" s="2">
        <v>114</v>
      </c>
      <c r="K230" s="2">
        <v>104</v>
      </c>
      <c r="L230" s="5">
        <f t="shared" si="11"/>
        <v>6.3159306275701765E-2</v>
      </c>
    </row>
    <row r="231" spans="1:12" x14ac:dyDescent="0.25">
      <c r="A231" t="s">
        <v>249</v>
      </c>
      <c r="B231" t="s">
        <v>26</v>
      </c>
      <c r="C231" s="10">
        <v>46003</v>
      </c>
      <c r="D231" s="18" t="str">
        <f t="shared" si="9"/>
        <v>December</v>
      </c>
      <c r="E231" s="11" t="str">
        <f t="shared" si="10"/>
        <v>2025</v>
      </c>
      <c r="F231" t="s">
        <v>15</v>
      </c>
      <c r="G231" s="2">
        <v>12708</v>
      </c>
      <c r="H231" s="2">
        <v>7249</v>
      </c>
      <c r="I231" s="2">
        <v>182</v>
      </c>
      <c r="J231" s="2">
        <v>120</v>
      </c>
      <c r="K231" s="2">
        <v>98</v>
      </c>
      <c r="L231" s="5">
        <f t="shared" si="11"/>
        <v>5.5180024831011171E-2</v>
      </c>
    </row>
    <row r="232" spans="1:12" x14ac:dyDescent="0.25">
      <c r="A232" t="s">
        <v>250</v>
      </c>
      <c r="B232" t="s">
        <v>14</v>
      </c>
      <c r="C232" s="10">
        <v>45822</v>
      </c>
      <c r="D232" s="18" t="str">
        <f t="shared" si="9"/>
        <v>June</v>
      </c>
      <c r="E232" s="11" t="str">
        <f t="shared" si="10"/>
        <v>2025</v>
      </c>
      <c r="F232" t="s">
        <v>24</v>
      </c>
      <c r="G232" s="2">
        <v>25969</v>
      </c>
      <c r="H232" s="2">
        <v>19451</v>
      </c>
      <c r="I232" s="2">
        <v>1525</v>
      </c>
      <c r="J232" s="2">
        <v>137</v>
      </c>
      <c r="K232" s="2">
        <v>120</v>
      </c>
      <c r="L232" s="5">
        <f t="shared" si="11"/>
        <v>9.1614827001182453E-2</v>
      </c>
    </row>
    <row r="233" spans="1:12" x14ac:dyDescent="0.25">
      <c r="A233" t="s">
        <v>251</v>
      </c>
      <c r="B233" t="s">
        <v>11</v>
      </c>
      <c r="C233" s="10">
        <v>45293</v>
      </c>
      <c r="D233" s="18" t="str">
        <f t="shared" si="9"/>
        <v>January</v>
      </c>
      <c r="E233" s="11" t="str">
        <f t="shared" si="10"/>
        <v>2024</v>
      </c>
      <c r="F233" t="s">
        <v>12</v>
      </c>
      <c r="G233" s="2">
        <v>24835</v>
      </c>
      <c r="H233" s="2">
        <v>13405</v>
      </c>
      <c r="I233" s="2">
        <v>446</v>
      </c>
      <c r="J233" s="2">
        <v>139</v>
      </c>
      <c r="K233" s="2">
        <v>131</v>
      </c>
      <c r="L233" s="5">
        <f t="shared" si="11"/>
        <v>5.3412905632226781E-2</v>
      </c>
    </row>
    <row r="234" spans="1:12" x14ac:dyDescent="0.25">
      <c r="A234" t="s">
        <v>252</v>
      </c>
      <c r="B234" t="s">
        <v>14</v>
      </c>
      <c r="C234" s="10">
        <v>45936</v>
      </c>
      <c r="D234" s="18" t="str">
        <f t="shared" si="9"/>
        <v>October</v>
      </c>
      <c r="E234" s="11" t="str">
        <f t="shared" si="10"/>
        <v>2025</v>
      </c>
      <c r="F234" t="s">
        <v>18</v>
      </c>
      <c r="G234" s="2">
        <v>69623</v>
      </c>
      <c r="H234" s="2">
        <v>43901</v>
      </c>
      <c r="I234" s="2">
        <v>2257</v>
      </c>
      <c r="J234" s="2">
        <v>589</v>
      </c>
      <c r="K234" s="2">
        <v>45</v>
      </c>
      <c r="L234" s="5">
        <f t="shared" si="11"/>
        <v>6.5852714061183121E-2</v>
      </c>
    </row>
    <row r="235" spans="1:12" x14ac:dyDescent="0.25">
      <c r="A235" t="s">
        <v>253</v>
      </c>
      <c r="B235" t="s">
        <v>14</v>
      </c>
      <c r="C235" s="10">
        <v>45691</v>
      </c>
      <c r="D235" s="18" t="str">
        <f t="shared" si="9"/>
        <v>February</v>
      </c>
      <c r="E235" s="11" t="str">
        <f t="shared" si="10"/>
        <v>2025</v>
      </c>
      <c r="F235" t="s">
        <v>32</v>
      </c>
      <c r="G235" s="2">
        <v>36545</v>
      </c>
      <c r="H235" s="2">
        <v>18868</v>
      </c>
      <c r="I235" s="2">
        <v>832</v>
      </c>
      <c r="J235" s="2">
        <v>167</v>
      </c>
      <c r="K235" s="2">
        <v>73</v>
      </c>
      <c r="L235" s="5">
        <f t="shared" si="11"/>
        <v>5.6815772736909055E-2</v>
      </c>
    </row>
    <row r="236" spans="1:12" x14ac:dyDescent="0.25">
      <c r="A236" t="s">
        <v>254</v>
      </c>
      <c r="B236" t="s">
        <v>11</v>
      </c>
      <c r="C236" s="10">
        <v>45734</v>
      </c>
      <c r="D236" s="18" t="str">
        <f t="shared" si="9"/>
        <v>March</v>
      </c>
      <c r="E236" s="11" t="str">
        <f t="shared" si="10"/>
        <v>2025</v>
      </c>
      <c r="F236" t="s">
        <v>18</v>
      </c>
      <c r="G236" s="2">
        <v>12513</v>
      </c>
      <c r="H236" s="2">
        <v>4472</v>
      </c>
      <c r="I236" s="2">
        <v>199</v>
      </c>
      <c r="J236" s="2">
        <v>36</v>
      </c>
      <c r="K236" s="2">
        <v>127</v>
      </c>
      <c r="L236" s="5">
        <f t="shared" si="11"/>
        <v>8.0948121645796067E-2</v>
      </c>
    </row>
    <row r="237" spans="1:12" x14ac:dyDescent="0.25">
      <c r="A237" t="s">
        <v>255</v>
      </c>
      <c r="B237" t="s">
        <v>11</v>
      </c>
      <c r="C237" s="10">
        <v>45305</v>
      </c>
      <c r="D237" s="18" t="str">
        <f t="shared" si="9"/>
        <v>January</v>
      </c>
      <c r="E237" s="11" t="str">
        <f t="shared" si="10"/>
        <v>2024</v>
      </c>
      <c r="F237" t="s">
        <v>32</v>
      </c>
      <c r="G237" s="2">
        <v>33475</v>
      </c>
      <c r="H237" s="2">
        <v>17487</v>
      </c>
      <c r="I237" s="2">
        <v>781</v>
      </c>
      <c r="J237" s="2">
        <v>61</v>
      </c>
      <c r="K237" s="2">
        <v>302</v>
      </c>
      <c r="L237" s="5">
        <f t="shared" si="11"/>
        <v>6.5420026305255327E-2</v>
      </c>
    </row>
    <row r="238" spans="1:12" x14ac:dyDescent="0.25">
      <c r="A238" t="s">
        <v>256</v>
      </c>
      <c r="B238" t="s">
        <v>11</v>
      </c>
      <c r="C238" s="10">
        <v>45655</v>
      </c>
      <c r="D238" s="18" t="str">
        <f t="shared" si="9"/>
        <v>December</v>
      </c>
      <c r="E238" s="11" t="str">
        <f t="shared" si="10"/>
        <v>2024</v>
      </c>
      <c r="F238" t="s">
        <v>32</v>
      </c>
      <c r="G238" s="2">
        <v>32149</v>
      </c>
      <c r="H238" s="2">
        <v>17932</v>
      </c>
      <c r="I238" s="2">
        <v>199</v>
      </c>
      <c r="J238" s="2">
        <v>219</v>
      </c>
      <c r="K238" s="2">
        <v>496</v>
      </c>
      <c r="L238" s="5">
        <f t="shared" si="11"/>
        <v>5.0970332366718718E-2</v>
      </c>
    </row>
    <row r="239" spans="1:12" x14ac:dyDescent="0.25">
      <c r="A239" t="s">
        <v>257</v>
      </c>
      <c r="B239" t="s">
        <v>11</v>
      </c>
      <c r="C239" s="10">
        <v>45865</v>
      </c>
      <c r="D239" s="18" t="str">
        <f t="shared" si="9"/>
        <v>July</v>
      </c>
      <c r="E239" s="11" t="str">
        <f t="shared" si="10"/>
        <v>2025</v>
      </c>
      <c r="F239" t="s">
        <v>18</v>
      </c>
      <c r="G239" s="2">
        <v>59311</v>
      </c>
      <c r="H239" s="2">
        <v>38645</v>
      </c>
      <c r="I239" s="2">
        <v>1427</v>
      </c>
      <c r="J239" s="2">
        <v>178</v>
      </c>
      <c r="K239" s="2">
        <v>1097</v>
      </c>
      <c r="L239" s="5">
        <f t="shared" si="11"/>
        <v>6.9918488808384013E-2</v>
      </c>
    </row>
    <row r="240" spans="1:12" x14ac:dyDescent="0.25">
      <c r="A240" t="s">
        <v>258</v>
      </c>
      <c r="B240" t="s">
        <v>17</v>
      </c>
      <c r="C240" s="10">
        <v>45734</v>
      </c>
      <c r="D240" s="18" t="str">
        <f t="shared" si="9"/>
        <v>March</v>
      </c>
      <c r="E240" s="11" t="str">
        <f t="shared" si="10"/>
        <v>2025</v>
      </c>
      <c r="F240" t="s">
        <v>15</v>
      </c>
      <c r="G240" s="2">
        <v>6650</v>
      </c>
      <c r="H240" s="2">
        <v>4450</v>
      </c>
      <c r="I240" s="2">
        <v>88</v>
      </c>
      <c r="J240" s="2">
        <v>29</v>
      </c>
      <c r="K240" s="2">
        <v>30</v>
      </c>
      <c r="L240" s="5">
        <f t="shared" si="11"/>
        <v>3.3033707865168536E-2</v>
      </c>
    </row>
    <row r="241" spans="1:12" x14ac:dyDescent="0.25">
      <c r="A241" t="s">
        <v>259</v>
      </c>
      <c r="B241" t="s">
        <v>11</v>
      </c>
      <c r="C241" s="10">
        <v>45791</v>
      </c>
      <c r="D241" s="18" t="str">
        <f t="shared" si="9"/>
        <v>May</v>
      </c>
      <c r="E241" s="11" t="str">
        <f t="shared" si="10"/>
        <v>2025</v>
      </c>
      <c r="F241" t="s">
        <v>32</v>
      </c>
      <c r="G241" s="2">
        <v>1657</v>
      </c>
      <c r="H241" s="2">
        <v>1073</v>
      </c>
      <c r="I241" s="2">
        <v>37</v>
      </c>
      <c r="J241" s="2">
        <v>10</v>
      </c>
      <c r="K241" s="2">
        <v>23</v>
      </c>
      <c r="L241" s="5">
        <f t="shared" si="11"/>
        <v>6.5237651444547989E-2</v>
      </c>
    </row>
    <row r="242" spans="1:12" x14ac:dyDescent="0.25">
      <c r="A242" t="s">
        <v>260</v>
      </c>
      <c r="B242" t="s">
        <v>20</v>
      </c>
      <c r="C242" s="10">
        <v>45445</v>
      </c>
      <c r="D242" s="18" t="str">
        <f t="shared" si="9"/>
        <v>June</v>
      </c>
      <c r="E242" s="11" t="str">
        <f t="shared" si="10"/>
        <v>2024</v>
      </c>
      <c r="F242" t="s">
        <v>18</v>
      </c>
      <c r="G242" s="2">
        <v>108505</v>
      </c>
      <c r="H242" s="2">
        <v>70144</v>
      </c>
      <c r="I242" s="2">
        <v>2978</v>
      </c>
      <c r="J242" s="2">
        <v>1107</v>
      </c>
      <c r="K242" s="2">
        <v>2855</v>
      </c>
      <c r="L242" s="5">
        <f t="shared" si="11"/>
        <v>9.8939324817518243E-2</v>
      </c>
    </row>
    <row r="243" spans="1:12" x14ac:dyDescent="0.25">
      <c r="A243" t="s">
        <v>261</v>
      </c>
      <c r="B243" t="s">
        <v>14</v>
      </c>
      <c r="C243" s="10">
        <v>45465</v>
      </c>
      <c r="D243" s="18" t="str">
        <f t="shared" si="9"/>
        <v>June</v>
      </c>
      <c r="E243" s="11" t="str">
        <f t="shared" si="10"/>
        <v>2024</v>
      </c>
      <c r="F243" t="s">
        <v>32</v>
      </c>
      <c r="G243" s="2">
        <v>51565</v>
      </c>
      <c r="H243" s="2">
        <v>36906</v>
      </c>
      <c r="I243" s="2">
        <v>2329</v>
      </c>
      <c r="J243" s="2">
        <v>388</v>
      </c>
      <c r="K243" s="2">
        <v>296</v>
      </c>
      <c r="L243" s="5">
        <f t="shared" si="11"/>
        <v>8.1639841760147408E-2</v>
      </c>
    </row>
    <row r="244" spans="1:12" x14ac:dyDescent="0.25">
      <c r="A244" t="s">
        <v>262</v>
      </c>
      <c r="B244" t="s">
        <v>20</v>
      </c>
      <c r="C244" s="10">
        <v>45998</v>
      </c>
      <c r="D244" s="18" t="str">
        <f t="shared" si="9"/>
        <v>December</v>
      </c>
      <c r="E244" s="11" t="str">
        <f t="shared" si="10"/>
        <v>2025</v>
      </c>
      <c r="F244" t="s">
        <v>18</v>
      </c>
      <c r="G244" s="2">
        <v>178037</v>
      </c>
      <c r="H244" s="2">
        <v>88521</v>
      </c>
      <c r="I244" s="2">
        <v>6409</v>
      </c>
      <c r="J244" s="2">
        <v>1924</v>
      </c>
      <c r="K244" s="2">
        <v>3605</v>
      </c>
      <c r="L244" s="5">
        <f t="shared" si="11"/>
        <v>0.13486065453395241</v>
      </c>
    </row>
    <row r="245" spans="1:12" x14ac:dyDescent="0.25">
      <c r="A245" t="s">
        <v>263</v>
      </c>
      <c r="B245" t="s">
        <v>20</v>
      </c>
      <c r="C245" s="10">
        <v>45304</v>
      </c>
      <c r="D245" s="18" t="str">
        <f t="shared" si="9"/>
        <v>January</v>
      </c>
      <c r="E245" s="11" t="str">
        <f t="shared" si="10"/>
        <v>2024</v>
      </c>
      <c r="F245" t="s">
        <v>24</v>
      </c>
      <c r="G245" s="2">
        <v>113603</v>
      </c>
      <c r="H245" s="2">
        <v>66263</v>
      </c>
      <c r="I245" s="2">
        <v>2835</v>
      </c>
      <c r="J245" s="2">
        <v>1732</v>
      </c>
      <c r="K245" s="2">
        <v>2443</v>
      </c>
      <c r="L245" s="5">
        <f t="shared" si="11"/>
        <v>0.10579056185201395</v>
      </c>
    </row>
    <row r="246" spans="1:12" x14ac:dyDescent="0.25">
      <c r="A246" t="s">
        <v>264</v>
      </c>
      <c r="B246" t="s">
        <v>20</v>
      </c>
      <c r="C246" s="10">
        <v>45708</v>
      </c>
      <c r="D246" s="18" t="str">
        <f t="shared" si="9"/>
        <v>February</v>
      </c>
      <c r="E246" s="11" t="str">
        <f t="shared" si="10"/>
        <v>2025</v>
      </c>
      <c r="F246" t="s">
        <v>18</v>
      </c>
      <c r="G246" s="2">
        <v>412062</v>
      </c>
      <c r="H246" s="2">
        <v>210624</v>
      </c>
      <c r="I246" s="2">
        <v>18048</v>
      </c>
      <c r="J246" s="2">
        <v>5421</v>
      </c>
      <c r="K246" s="2">
        <v>5811</v>
      </c>
      <c r="L246" s="5">
        <f t="shared" si="11"/>
        <v>0.13901549680948039</v>
      </c>
    </row>
    <row r="247" spans="1:12" x14ac:dyDescent="0.25">
      <c r="A247" t="s">
        <v>265</v>
      </c>
      <c r="B247" t="s">
        <v>20</v>
      </c>
      <c r="C247" s="10">
        <v>45972</v>
      </c>
      <c r="D247" s="18" t="str">
        <f t="shared" si="9"/>
        <v>November</v>
      </c>
      <c r="E247" s="11" t="str">
        <f t="shared" si="10"/>
        <v>2025</v>
      </c>
      <c r="F247" t="s">
        <v>24</v>
      </c>
      <c r="G247" s="2">
        <v>167258</v>
      </c>
      <c r="H247" s="2">
        <v>105559</v>
      </c>
      <c r="I247" s="2">
        <v>7139</v>
      </c>
      <c r="J247" s="2">
        <v>1753</v>
      </c>
      <c r="K247" s="2">
        <v>3165</v>
      </c>
      <c r="L247" s="5">
        <f t="shared" si="11"/>
        <v>0.11422048333159655</v>
      </c>
    </row>
    <row r="248" spans="1:12" x14ac:dyDescent="0.25">
      <c r="A248" t="s">
        <v>266</v>
      </c>
      <c r="B248" t="s">
        <v>11</v>
      </c>
      <c r="C248" s="10">
        <v>45434</v>
      </c>
      <c r="D248" s="18" t="str">
        <f t="shared" si="9"/>
        <v>May</v>
      </c>
      <c r="E248" s="11" t="str">
        <f t="shared" si="10"/>
        <v>2024</v>
      </c>
      <c r="F248" t="s">
        <v>15</v>
      </c>
      <c r="G248" s="2">
        <v>8453</v>
      </c>
      <c r="H248" s="2">
        <v>2744</v>
      </c>
      <c r="I248" s="2">
        <v>70</v>
      </c>
      <c r="J248" s="2">
        <v>52</v>
      </c>
      <c r="K248" s="2">
        <v>61</v>
      </c>
      <c r="L248" s="5">
        <f t="shared" si="11"/>
        <v>6.6690962099125367E-2</v>
      </c>
    </row>
    <row r="249" spans="1:12" x14ac:dyDescent="0.25">
      <c r="A249" t="s">
        <v>267</v>
      </c>
      <c r="B249" t="s">
        <v>11</v>
      </c>
      <c r="C249" s="10">
        <v>45376</v>
      </c>
      <c r="D249" s="18" t="str">
        <f t="shared" si="9"/>
        <v>March</v>
      </c>
      <c r="E249" s="11" t="str">
        <f t="shared" si="10"/>
        <v>2024</v>
      </c>
      <c r="F249" t="s">
        <v>15</v>
      </c>
      <c r="G249" s="2">
        <v>11670</v>
      </c>
      <c r="H249" s="2">
        <v>7549</v>
      </c>
      <c r="I249" s="2">
        <v>83</v>
      </c>
      <c r="J249" s="2">
        <v>121</v>
      </c>
      <c r="K249" s="2">
        <v>183</v>
      </c>
      <c r="L249" s="5">
        <f t="shared" si="11"/>
        <v>5.1265068220956417E-2</v>
      </c>
    </row>
    <row r="250" spans="1:12" x14ac:dyDescent="0.25">
      <c r="A250" t="s">
        <v>268</v>
      </c>
      <c r="B250" t="s">
        <v>14</v>
      </c>
      <c r="C250" s="10">
        <v>45357</v>
      </c>
      <c r="D250" s="18" t="str">
        <f t="shared" si="9"/>
        <v>March</v>
      </c>
      <c r="E250" s="11" t="str">
        <f t="shared" si="10"/>
        <v>2024</v>
      </c>
      <c r="F250" t="s">
        <v>24</v>
      </c>
      <c r="G250" s="2">
        <v>50804</v>
      </c>
      <c r="H250" s="2">
        <v>33333</v>
      </c>
      <c r="I250" s="2">
        <v>1967</v>
      </c>
      <c r="J250" s="2">
        <v>113</v>
      </c>
      <c r="K250" s="2">
        <v>54</v>
      </c>
      <c r="L250" s="5">
        <f t="shared" si="11"/>
        <v>6.4020640206402066E-2</v>
      </c>
    </row>
    <row r="251" spans="1:12" x14ac:dyDescent="0.25">
      <c r="A251" t="s">
        <v>269</v>
      </c>
      <c r="B251" t="s">
        <v>17</v>
      </c>
      <c r="C251" s="10">
        <v>45361</v>
      </c>
      <c r="D251" s="18" t="str">
        <f t="shared" si="9"/>
        <v>March</v>
      </c>
      <c r="E251" s="11" t="str">
        <f t="shared" si="10"/>
        <v>2024</v>
      </c>
      <c r="F251" t="s">
        <v>12</v>
      </c>
      <c r="G251" s="2">
        <v>19570</v>
      </c>
      <c r="H251" s="2">
        <v>15268</v>
      </c>
      <c r="I251" s="2">
        <v>93</v>
      </c>
      <c r="J251" s="2">
        <v>58</v>
      </c>
      <c r="K251" s="2">
        <v>43</v>
      </c>
      <c r="L251" s="5">
        <f t="shared" si="11"/>
        <v>1.2706313859051611E-2</v>
      </c>
    </row>
    <row r="252" spans="1:12" x14ac:dyDescent="0.25">
      <c r="A252" t="s">
        <v>270</v>
      </c>
      <c r="B252" t="s">
        <v>14</v>
      </c>
      <c r="C252" s="10">
        <v>45960</v>
      </c>
      <c r="D252" s="18" t="str">
        <f t="shared" si="9"/>
        <v>October</v>
      </c>
      <c r="E252" s="11" t="str">
        <f t="shared" si="10"/>
        <v>2025</v>
      </c>
      <c r="F252" t="s">
        <v>24</v>
      </c>
      <c r="G252" s="2">
        <v>25198</v>
      </c>
      <c r="H252" s="2">
        <v>11732</v>
      </c>
      <c r="I252" s="2">
        <v>764</v>
      </c>
      <c r="J252" s="2">
        <v>64</v>
      </c>
      <c r="K252" s="2">
        <v>115</v>
      </c>
      <c r="L252" s="5">
        <f t="shared" si="11"/>
        <v>8.0378452096829187E-2</v>
      </c>
    </row>
    <row r="253" spans="1:12" x14ac:dyDescent="0.25">
      <c r="A253" t="s">
        <v>271</v>
      </c>
      <c r="B253" t="s">
        <v>26</v>
      </c>
      <c r="C253" s="10">
        <v>45797</v>
      </c>
      <c r="D253" s="18" t="str">
        <f t="shared" si="9"/>
        <v>May</v>
      </c>
      <c r="E253" s="11" t="str">
        <f t="shared" si="10"/>
        <v>2025</v>
      </c>
      <c r="F253" t="s">
        <v>32</v>
      </c>
      <c r="G253" s="2">
        <v>1247</v>
      </c>
      <c r="H253" s="2">
        <v>713</v>
      </c>
      <c r="I253" s="2">
        <v>24</v>
      </c>
      <c r="J253" s="2">
        <v>16</v>
      </c>
      <c r="K253" s="2">
        <v>6</v>
      </c>
      <c r="L253" s="5">
        <f t="shared" si="11"/>
        <v>6.4516129032258063E-2</v>
      </c>
    </row>
    <row r="254" spans="1:12" x14ac:dyDescent="0.25">
      <c r="A254" t="s">
        <v>272</v>
      </c>
      <c r="B254" t="s">
        <v>14</v>
      </c>
      <c r="C254" s="10">
        <v>45930</v>
      </c>
      <c r="D254" s="18" t="str">
        <f t="shared" si="9"/>
        <v>September</v>
      </c>
      <c r="E254" s="11" t="str">
        <f t="shared" si="10"/>
        <v>2025</v>
      </c>
      <c r="F254" t="s">
        <v>32</v>
      </c>
      <c r="G254" s="2">
        <v>46649</v>
      </c>
      <c r="H254" s="2">
        <v>19555</v>
      </c>
      <c r="I254" s="2">
        <v>1372</v>
      </c>
      <c r="J254" s="2">
        <v>213</v>
      </c>
      <c r="K254" s="2">
        <v>143</v>
      </c>
      <c r="L254" s="5">
        <f t="shared" si="11"/>
        <v>8.8366146765533116E-2</v>
      </c>
    </row>
    <row r="255" spans="1:12" x14ac:dyDescent="0.25">
      <c r="A255" t="s">
        <v>273</v>
      </c>
      <c r="B255" t="s">
        <v>14</v>
      </c>
      <c r="C255" s="10">
        <v>45888</v>
      </c>
      <c r="D255" s="18" t="str">
        <f t="shared" si="9"/>
        <v>August</v>
      </c>
      <c r="E255" s="11" t="str">
        <f t="shared" si="10"/>
        <v>2025</v>
      </c>
      <c r="F255" t="s">
        <v>15</v>
      </c>
      <c r="G255" s="2">
        <v>35125</v>
      </c>
      <c r="H255" s="2">
        <v>22571</v>
      </c>
      <c r="I255" s="2">
        <v>1746</v>
      </c>
      <c r="J255" s="2">
        <v>128</v>
      </c>
      <c r="K255" s="2">
        <v>225</v>
      </c>
      <c r="L255" s="5">
        <f t="shared" si="11"/>
        <v>9.299543662221435E-2</v>
      </c>
    </row>
    <row r="256" spans="1:12" x14ac:dyDescent="0.25">
      <c r="A256" t="s">
        <v>274</v>
      </c>
      <c r="B256" t="s">
        <v>20</v>
      </c>
      <c r="C256" s="10">
        <v>45529</v>
      </c>
      <c r="D256" s="18" t="str">
        <f t="shared" si="9"/>
        <v>August</v>
      </c>
      <c r="E256" s="11" t="str">
        <f t="shared" si="10"/>
        <v>2024</v>
      </c>
      <c r="F256" t="s">
        <v>24</v>
      </c>
      <c r="G256" s="2">
        <v>11249</v>
      </c>
      <c r="H256" s="2">
        <v>7065</v>
      </c>
      <c r="I256" s="2">
        <v>364</v>
      </c>
      <c r="J256" s="2">
        <v>173</v>
      </c>
      <c r="K256" s="2">
        <v>155</v>
      </c>
      <c r="L256" s="5">
        <f t="shared" si="11"/>
        <v>9.7947629157820237E-2</v>
      </c>
    </row>
    <row r="257" spans="1:12" x14ac:dyDescent="0.25">
      <c r="A257" t="s">
        <v>275</v>
      </c>
      <c r="B257" t="s">
        <v>11</v>
      </c>
      <c r="C257" s="10">
        <v>45964</v>
      </c>
      <c r="D257" s="18" t="str">
        <f t="shared" si="9"/>
        <v>November</v>
      </c>
      <c r="E257" s="11" t="str">
        <f t="shared" si="10"/>
        <v>2025</v>
      </c>
      <c r="F257" t="s">
        <v>12</v>
      </c>
      <c r="G257" s="2">
        <v>24441</v>
      </c>
      <c r="H257" s="2">
        <v>10879</v>
      </c>
      <c r="I257" s="2">
        <v>337</v>
      </c>
      <c r="J257" s="2">
        <v>202</v>
      </c>
      <c r="K257" s="2">
        <v>75</v>
      </c>
      <c r="L257" s="5">
        <f t="shared" si="11"/>
        <v>5.6439010938505375E-2</v>
      </c>
    </row>
    <row r="258" spans="1:12" x14ac:dyDescent="0.25">
      <c r="A258" t="s">
        <v>276</v>
      </c>
      <c r="B258" t="s">
        <v>26</v>
      </c>
      <c r="C258" s="10">
        <v>45929</v>
      </c>
      <c r="D258" s="18" t="str">
        <f t="shared" si="9"/>
        <v>September</v>
      </c>
      <c r="E258" s="11" t="str">
        <f t="shared" si="10"/>
        <v>2025</v>
      </c>
      <c r="F258" t="s">
        <v>18</v>
      </c>
      <c r="G258" s="2">
        <v>2648</v>
      </c>
      <c r="H258" s="2">
        <v>1347</v>
      </c>
      <c r="I258" s="2">
        <v>49</v>
      </c>
      <c r="J258" s="2">
        <v>14</v>
      </c>
      <c r="K258" s="2">
        <v>17</v>
      </c>
      <c r="L258" s="5">
        <f t="shared" si="11"/>
        <v>5.9391239792130658E-2</v>
      </c>
    </row>
    <row r="259" spans="1:12" x14ac:dyDescent="0.25">
      <c r="A259" t="s">
        <v>277</v>
      </c>
      <c r="B259" t="s">
        <v>11</v>
      </c>
      <c r="C259" s="10">
        <v>45575</v>
      </c>
      <c r="D259" s="18" t="str">
        <f t="shared" ref="D259:D322" si="12">TEXT($C259,"MMMM")</f>
        <v>October</v>
      </c>
      <c r="E259" s="11" t="str">
        <f t="shared" ref="E259:E322" si="13">TEXT(C259,"yyyy")</f>
        <v>2024</v>
      </c>
      <c r="F259" t="s">
        <v>12</v>
      </c>
      <c r="G259" s="2">
        <v>8413</v>
      </c>
      <c r="H259" s="2">
        <v>5885</v>
      </c>
      <c r="I259" s="2">
        <v>210</v>
      </c>
      <c r="J259" s="2">
        <v>45</v>
      </c>
      <c r="K259" s="2">
        <v>95</v>
      </c>
      <c r="L259" s="5">
        <f t="shared" ref="L259:L322" si="14">SUM(I259:K259)/H259</f>
        <v>5.9473237043330504E-2</v>
      </c>
    </row>
    <row r="260" spans="1:12" x14ac:dyDescent="0.25">
      <c r="A260" t="s">
        <v>278</v>
      </c>
      <c r="B260" t="s">
        <v>14</v>
      </c>
      <c r="C260" s="10">
        <v>45491</v>
      </c>
      <c r="D260" s="18" t="str">
        <f t="shared" si="12"/>
        <v>July</v>
      </c>
      <c r="E260" s="11" t="str">
        <f t="shared" si="13"/>
        <v>2024</v>
      </c>
      <c r="F260" t="s">
        <v>24</v>
      </c>
      <c r="G260" s="2">
        <v>87465</v>
      </c>
      <c r="H260" s="2">
        <v>46191</v>
      </c>
      <c r="I260" s="2">
        <v>2314</v>
      </c>
      <c r="J260" s="2">
        <v>107</v>
      </c>
      <c r="K260" s="2">
        <v>330</v>
      </c>
      <c r="L260" s="5">
        <f t="shared" si="14"/>
        <v>5.9557056569461586E-2</v>
      </c>
    </row>
    <row r="261" spans="1:12" x14ac:dyDescent="0.25">
      <c r="A261" t="s">
        <v>279</v>
      </c>
      <c r="B261" t="s">
        <v>20</v>
      </c>
      <c r="C261" s="10">
        <v>45595</v>
      </c>
      <c r="D261" s="18" t="str">
        <f t="shared" si="12"/>
        <v>October</v>
      </c>
      <c r="E261" s="11" t="str">
        <f t="shared" si="13"/>
        <v>2024</v>
      </c>
      <c r="F261" t="s">
        <v>18</v>
      </c>
      <c r="G261" s="2">
        <v>238988</v>
      </c>
      <c r="H261" s="2">
        <v>75452</v>
      </c>
      <c r="I261" s="2">
        <v>6979</v>
      </c>
      <c r="J261" s="2">
        <v>1303</v>
      </c>
      <c r="K261" s="2">
        <v>1839</v>
      </c>
      <c r="L261" s="5">
        <f t="shared" si="14"/>
        <v>0.13413826008588242</v>
      </c>
    </row>
    <row r="262" spans="1:12" x14ac:dyDescent="0.25">
      <c r="A262" t="s">
        <v>280</v>
      </c>
      <c r="B262" t="s">
        <v>26</v>
      </c>
      <c r="C262" s="10">
        <v>45685</v>
      </c>
      <c r="D262" s="18" t="str">
        <f t="shared" si="12"/>
        <v>January</v>
      </c>
      <c r="E262" s="11" t="str">
        <f t="shared" si="13"/>
        <v>2025</v>
      </c>
      <c r="F262" t="s">
        <v>15</v>
      </c>
      <c r="G262" s="2">
        <v>10739</v>
      </c>
      <c r="H262" s="2">
        <v>6660</v>
      </c>
      <c r="I262" s="2">
        <v>385</v>
      </c>
      <c r="J262" s="2">
        <v>43</v>
      </c>
      <c r="K262" s="2">
        <v>74</v>
      </c>
      <c r="L262" s="5">
        <f t="shared" si="14"/>
        <v>7.5375375375375378E-2</v>
      </c>
    </row>
    <row r="263" spans="1:12" x14ac:dyDescent="0.25">
      <c r="A263" t="s">
        <v>281</v>
      </c>
      <c r="B263" t="s">
        <v>14</v>
      </c>
      <c r="C263" s="10">
        <v>45730</v>
      </c>
      <c r="D263" s="18" t="str">
        <f t="shared" si="12"/>
        <v>March</v>
      </c>
      <c r="E263" s="11" t="str">
        <f t="shared" si="13"/>
        <v>2025</v>
      </c>
      <c r="F263" t="s">
        <v>15</v>
      </c>
      <c r="G263" s="2">
        <v>13057</v>
      </c>
      <c r="H263" s="2">
        <v>9506</v>
      </c>
      <c r="I263" s="2">
        <v>650</v>
      </c>
      <c r="J263" s="2">
        <v>89</v>
      </c>
      <c r="K263" s="2">
        <v>25</v>
      </c>
      <c r="L263" s="5">
        <f t="shared" si="14"/>
        <v>8.0370292446875657E-2</v>
      </c>
    </row>
    <row r="264" spans="1:12" x14ac:dyDescent="0.25">
      <c r="A264" t="s">
        <v>282</v>
      </c>
      <c r="B264" t="s">
        <v>11</v>
      </c>
      <c r="C264" s="10">
        <v>46000</v>
      </c>
      <c r="D264" s="18" t="str">
        <f t="shared" si="12"/>
        <v>December</v>
      </c>
      <c r="E264" s="11" t="str">
        <f t="shared" si="13"/>
        <v>2025</v>
      </c>
      <c r="F264" t="s">
        <v>15</v>
      </c>
      <c r="G264" s="2">
        <v>27725</v>
      </c>
      <c r="H264" s="2">
        <v>17999</v>
      </c>
      <c r="I264" s="2">
        <v>349</v>
      </c>
      <c r="J264" s="2">
        <v>231</v>
      </c>
      <c r="K264" s="2">
        <v>427</v>
      </c>
      <c r="L264" s="5">
        <f t="shared" si="14"/>
        <v>5.5947552641813433E-2</v>
      </c>
    </row>
    <row r="265" spans="1:12" x14ac:dyDescent="0.25">
      <c r="A265" t="s">
        <v>283</v>
      </c>
      <c r="B265" t="s">
        <v>14</v>
      </c>
      <c r="C265" s="10">
        <v>45730</v>
      </c>
      <c r="D265" s="18" t="str">
        <f t="shared" si="12"/>
        <v>March</v>
      </c>
      <c r="E265" s="11" t="str">
        <f t="shared" si="13"/>
        <v>2025</v>
      </c>
      <c r="F265" t="s">
        <v>32</v>
      </c>
      <c r="G265" s="2">
        <v>57682</v>
      </c>
      <c r="H265" s="2">
        <v>44434</v>
      </c>
      <c r="I265" s="2">
        <v>1003</v>
      </c>
      <c r="J265" s="2">
        <v>262</v>
      </c>
      <c r="K265" s="2">
        <v>289</v>
      </c>
      <c r="L265" s="5">
        <f t="shared" si="14"/>
        <v>3.4973218706396005E-2</v>
      </c>
    </row>
    <row r="266" spans="1:12" x14ac:dyDescent="0.25">
      <c r="A266" t="s">
        <v>284</v>
      </c>
      <c r="B266" t="s">
        <v>17</v>
      </c>
      <c r="C266" s="10">
        <v>45476</v>
      </c>
      <c r="D266" s="18" t="str">
        <f t="shared" si="12"/>
        <v>July</v>
      </c>
      <c r="E266" s="11" t="str">
        <f t="shared" si="13"/>
        <v>2024</v>
      </c>
      <c r="F266" t="s">
        <v>18</v>
      </c>
      <c r="G266" s="2">
        <v>17139</v>
      </c>
      <c r="H266" s="2">
        <v>9843</v>
      </c>
      <c r="I266" s="2">
        <v>52</v>
      </c>
      <c r="J266" s="2">
        <v>36</v>
      </c>
      <c r="K266" s="2">
        <v>177</v>
      </c>
      <c r="L266" s="5">
        <f t="shared" si="14"/>
        <v>2.692268617291476E-2</v>
      </c>
    </row>
    <row r="267" spans="1:12" x14ac:dyDescent="0.25">
      <c r="A267" t="s">
        <v>285</v>
      </c>
      <c r="B267" t="s">
        <v>20</v>
      </c>
      <c r="C267" s="10">
        <v>45817</v>
      </c>
      <c r="D267" s="18" t="str">
        <f t="shared" si="12"/>
        <v>June</v>
      </c>
      <c r="E267" s="11" t="str">
        <f t="shared" si="13"/>
        <v>2025</v>
      </c>
      <c r="F267" t="s">
        <v>24</v>
      </c>
      <c r="G267" s="2">
        <v>189115</v>
      </c>
      <c r="H267" s="2">
        <v>82786</v>
      </c>
      <c r="I267" s="2">
        <v>9495</v>
      </c>
      <c r="J267" s="2">
        <v>717</v>
      </c>
      <c r="K267" s="2">
        <v>2947</v>
      </c>
      <c r="L267" s="5">
        <f t="shared" si="14"/>
        <v>0.15895199671442031</v>
      </c>
    </row>
    <row r="268" spans="1:12" x14ac:dyDescent="0.25">
      <c r="A268" t="s">
        <v>286</v>
      </c>
      <c r="B268" t="s">
        <v>14</v>
      </c>
      <c r="C268" s="10">
        <v>45500</v>
      </c>
      <c r="D268" s="18" t="str">
        <f t="shared" si="12"/>
        <v>July</v>
      </c>
      <c r="E268" s="11" t="str">
        <f t="shared" si="13"/>
        <v>2024</v>
      </c>
      <c r="F268" t="s">
        <v>15</v>
      </c>
      <c r="G268" s="2">
        <v>44207</v>
      </c>
      <c r="H268" s="2">
        <v>32862</v>
      </c>
      <c r="I268" s="2">
        <v>803</v>
      </c>
      <c r="J268" s="2">
        <v>386</v>
      </c>
      <c r="K268" s="2">
        <v>318</v>
      </c>
      <c r="L268" s="5">
        <f t="shared" si="14"/>
        <v>4.5858438317813888E-2</v>
      </c>
    </row>
    <row r="269" spans="1:12" x14ac:dyDescent="0.25">
      <c r="A269" t="s">
        <v>287</v>
      </c>
      <c r="B269" t="s">
        <v>17</v>
      </c>
      <c r="C269" s="10">
        <v>45792</v>
      </c>
      <c r="D269" s="18" t="str">
        <f t="shared" si="12"/>
        <v>May</v>
      </c>
      <c r="E269" s="11" t="str">
        <f t="shared" si="13"/>
        <v>2025</v>
      </c>
      <c r="F269" t="s">
        <v>12</v>
      </c>
      <c r="G269" s="2">
        <v>15615</v>
      </c>
      <c r="H269" s="2">
        <v>13350</v>
      </c>
      <c r="I269" s="2">
        <v>146</v>
      </c>
      <c r="J269" s="2">
        <v>15</v>
      </c>
      <c r="K269" s="2">
        <v>260</v>
      </c>
      <c r="L269" s="5">
        <f t="shared" si="14"/>
        <v>3.1535580524344568E-2</v>
      </c>
    </row>
    <row r="270" spans="1:12" x14ac:dyDescent="0.25">
      <c r="A270" t="s">
        <v>288</v>
      </c>
      <c r="B270" t="s">
        <v>26</v>
      </c>
      <c r="C270" s="10">
        <v>45409</v>
      </c>
      <c r="D270" s="18" t="str">
        <f t="shared" si="12"/>
        <v>April</v>
      </c>
      <c r="E270" s="11" t="str">
        <f t="shared" si="13"/>
        <v>2024</v>
      </c>
      <c r="F270" t="s">
        <v>15</v>
      </c>
      <c r="G270" s="2">
        <v>14552</v>
      </c>
      <c r="H270" s="2">
        <v>11582</v>
      </c>
      <c r="I270" s="2">
        <v>469</v>
      </c>
      <c r="J270" s="2">
        <v>154</v>
      </c>
      <c r="K270" s="2">
        <v>139</v>
      </c>
      <c r="L270" s="5">
        <f t="shared" si="14"/>
        <v>6.579174581246762E-2</v>
      </c>
    </row>
    <row r="271" spans="1:12" x14ac:dyDescent="0.25">
      <c r="A271" t="s">
        <v>289</v>
      </c>
      <c r="B271" t="s">
        <v>11</v>
      </c>
      <c r="C271" s="10">
        <v>45863</v>
      </c>
      <c r="D271" s="18" t="str">
        <f t="shared" si="12"/>
        <v>July</v>
      </c>
      <c r="E271" s="11" t="str">
        <f t="shared" si="13"/>
        <v>2025</v>
      </c>
      <c r="F271" t="s">
        <v>15</v>
      </c>
      <c r="G271" s="2">
        <v>3215</v>
      </c>
      <c r="H271" s="2">
        <v>1257</v>
      </c>
      <c r="I271" s="2">
        <v>34</v>
      </c>
      <c r="J271" s="2">
        <v>3</v>
      </c>
      <c r="K271" s="2">
        <v>16</v>
      </c>
      <c r="L271" s="5">
        <f t="shared" si="14"/>
        <v>4.2163882259347654E-2</v>
      </c>
    </row>
    <row r="272" spans="1:12" x14ac:dyDescent="0.25">
      <c r="A272" t="s">
        <v>290</v>
      </c>
      <c r="B272" t="s">
        <v>17</v>
      </c>
      <c r="C272" s="10">
        <v>45294</v>
      </c>
      <c r="D272" s="18" t="str">
        <f t="shared" si="12"/>
        <v>January</v>
      </c>
      <c r="E272" s="11" t="str">
        <f t="shared" si="13"/>
        <v>2024</v>
      </c>
      <c r="F272" t="s">
        <v>15</v>
      </c>
      <c r="G272" s="2">
        <v>22166</v>
      </c>
      <c r="H272" s="2">
        <v>13317</v>
      </c>
      <c r="I272" s="2">
        <v>280</v>
      </c>
      <c r="J272" s="2">
        <v>50</v>
      </c>
      <c r="K272" s="2">
        <v>213</v>
      </c>
      <c r="L272" s="5">
        <f t="shared" si="14"/>
        <v>4.0774949312908315E-2</v>
      </c>
    </row>
    <row r="273" spans="1:12" x14ac:dyDescent="0.25">
      <c r="A273" t="s">
        <v>291</v>
      </c>
      <c r="B273" t="s">
        <v>20</v>
      </c>
      <c r="C273" s="10">
        <v>45894</v>
      </c>
      <c r="D273" s="18" t="str">
        <f t="shared" si="12"/>
        <v>August</v>
      </c>
      <c r="E273" s="11" t="str">
        <f t="shared" si="13"/>
        <v>2025</v>
      </c>
      <c r="F273" t="s">
        <v>24</v>
      </c>
      <c r="G273" s="2">
        <v>115946</v>
      </c>
      <c r="H273" s="2">
        <v>37187</v>
      </c>
      <c r="I273" s="2">
        <v>3976</v>
      </c>
      <c r="J273" s="2">
        <v>509</v>
      </c>
      <c r="K273" s="2">
        <v>1040</v>
      </c>
      <c r="L273" s="5">
        <f t="shared" si="14"/>
        <v>0.14857342619732702</v>
      </c>
    </row>
    <row r="274" spans="1:12" x14ac:dyDescent="0.25">
      <c r="A274" t="s">
        <v>292</v>
      </c>
      <c r="B274" t="s">
        <v>17</v>
      </c>
      <c r="C274" s="10">
        <v>45631</v>
      </c>
      <c r="D274" s="18" t="str">
        <f t="shared" si="12"/>
        <v>December</v>
      </c>
      <c r="E274" s="11" t="str">
        <f t="shared" si="13"/>
        <v>2024</v>
      </c>
      <c r="F274" t="s">
        <v>18</v>
      </c>
      <c r="G274" s="2">
        <v>49795</v>
      </c>
      <c r="H274" s="2">
        <v>40622</v>
      </c>
      <c r="I274" s="2">
        <v>928</v>
      </c>
      <c r="J274" s="2">
        <v>63</v>
      </c>
      <c r="K274" s="2">
        <v>119</v>
      </c>
      <c r="L274" s="5">
        <f t="shared" si="14"/>
        <v>2.732509477622963E-2</v>
      </c>
    </row>
    <row r="275" spans="1:12" x14ac:dyDescent="0.25">
      <c r="A275" t="s">
        <v>293</v>
      </c>
      <c r="B275" t="s">
        <v>11</v>
      </c>
      <c r="C275" s="10">
        <v>45976</v>
      </c>
      <c r="D275" s="18" t="str">
        <f t="shared" si="12"/>
        <v>November</v>
      </c>
      <c r="E275" s="11" t="str">
        <f t="shared" si="13"/>
        <v>2025</v>
      </c>
      <c r="F275" t="s">
        <v>15</v>
      </c>
      <c r="G275" s="2">
        <v>21275</v>
      </c>
      <c r="H275" s="2">
        <v>11159</v>
      </c>
      <c r="I275" s="2">
        <v>223</v>
      </c>
      <c r="J275" s="2">
        <v>149</v>
      </c>
      <c r="K275" s="2">
        <v>244</v>
      </c>
      <c r="L275" s="5">
        <f t="shared" si="14"/>
        <v>5.5202079039340442E-2</v>
      </c>
    </row>
    <row r="276" spans="1:12" x14ac:dyDescent="0.25">
      <c r="A276" t="s">
        <v>294</v>
      </c>
      <c r="B276" t="s">
        <v>20</v>
      </c>
      <c r="C276" s="10">
        <v>45944</v>
      </c>
      <c r="D276" s="18" t="str">
        <f t="shared" si="12"/>
        <v>October</v>
      </c>
      <c r="E276" s="11" t="str">
        <f t="shared" si="13"/>
        <v>2025</v>
      </c>
      <c r="F276" t="s">
        <v>18</v>
      </c>
      <c r="G276" s="2">
        <v>249153</v>
      </c>
      <c r="H276" s="2">
        <v>111826</v>
      </c>
      <c r="I276" s="2">
        <v>9278</v>
      </c>
      <c r="J276" s="2">
        <v>2328</v>
      </c>
      <c r="K276" s="2">
        <v>2336</v>
      </c>
      <c r="L276" s="5">
        <f t="shared" si="14"/>
        <v>0.12467583567327813</v>
      </c>
    </row>
    <row r="277" spans="1:12" x14ac:dyDescent="0.25">
      <c r="A277" t="s">
        <v>295</v>
      </c>
      <c r="B277" t="s">
        <v>20</v>
      </c>
      <c r="C277" s="10">
        <v>45326</v>
      </c>
      <c r="D277" s="18" t="str">
        <f t="shared" si="12"/>
        <v>February</v>
      </c>
      <c r="E277" s="11" t="str">
        <f t="shared" si="13"/>
        <v>2024</v>
      </c>
      <c r="F277" t="s">
        <v>24</v>
      </c>
      <c r="G277" s="2">
        <v>479116</v>
      </c>
      <c r="H277" s="2">
        <v>244474</v>
      </c>
      <c r="I277" s="2">
        <v>29116</v>
      </c>
      <c r="J277" s="2">
        <v>1302</v>
      </c>
      <c r="K277" s="2">
        <v>5281</v>
      </c>
      <c r="L277" s="5">
        <f t="shared" si="14"/>
        <v>0.14602370804257303</v>
      </c>
    </row>
    <row r="278" spans="1:12" x14ac:dyDescent="0.25">
      <c r="A278" t="s">
        <v>296</v>
      </c>
      <c r="B278" t="s">
        <v>11</v>
      </c>
      <c r="C278" s="10">
        <v>45465</v>
      </c>
      <c r="D278" s="18" t="str">
        <f t="shared" si="12"/>
        <v>June</v>
      </c>
      <c r="E278" s="11" t="str">
        <f t="shared" si="13"/>
        <v>2024</v>
      </c>
      <c r="F278" t="s">
        <v>32</v>
      </c>
      <c r="G278" s="2">
        <v>1917</v>
      </c>
      <c r="H278" s="2">
        <v>751</v>
      </c>
      <c r="I278" s="2">
        <v>26</v>
      </c>
      <c r="J278" s="2">
        <v>4</v>
      </c>
      <c r="K278" s="2">
        <v>15</v>
      </c>
      <c r="L278" s="5">
        <f t="shared" si="14"/>
        <v>5.9920106524633823E-2</v>
      </c>
    </row>
    <row r="279" spans="1:12" x14ac:dyDescent="0.25">
      <c r="A279" t="s">
        <v>297</v>
      </c>
      <c r="B279" t="s">
        <v>26</v>
      </c>
      <c r="C279" s="10">
        <v>45751</v>
      </c>
      <c r="D279" s="18" t="str">
        <f t="shared" si="12"/>
        <v>April</v>
      </c>
      <c r="E279" s="11" t="str">
        <f t="shared" si="13"/>
        <v>2025</v>
      </c>
      <c r="F279" t="s">
        <v>12</v>
      </c>
      <c r="G279" s="2">
        <v>14624</v>
      </c>
      <c r="H279" s="2">
        <v>7922</v>
      </c>
      <c r="I279" s="2">
        <v>238</v>
      </c>
      <c r="J279" s="2">
        <v>76</v>
      </c>
      <c r="K279" s="2">
        <v>99</v>
      </c>
      <c r="L279" s="5">
        <f t="shared" si="14"/>
        <v>5.2133299671800047E-2</v>
      </c>
    </row>
    <row r="280" spans="1:12" x14ac:dyDescent="0.25">
      <c r="A280" t="s">
        <v>298</v>
      </c>
      <c r="B280" t="s">
        <v>20</v>
      </c>
      <c r="C280" s="10">
        <v>45738</v>
      </c>
      <c r="D280" s="18" t="str">
        <f t="shared" si="12"/>
        <v>March</v>
      </c>
      <c r="E280" s="11" t="str">
        <f t="shared" si="13"/>
        <v>2025</v>
      </c>
      <c r="F280" t="s">
        <v>18</v>
      </c>
      <c r="G280" s="2">
        <v>171936</v>
      </c>
      <c r="H280" s="2">
        <v>96477</v>
      </c>
      <c r="I280" s="2">
        <v>4349</v>
      </c>
      <c r="J280" s="2">
        <v>2652</v>
      </c>
      <c r="K280" s="2">
        <v>1481</v>
      </c>
      <c r="L280" s="5">
        <f t="shared" si="14"/>
        <v>8.7917327445919749E-2</v>
      </c>
    </row>
    <row r="281" spans="1:12" x14ac:dyDescent="0.25">
      <c r="A281" t="s">
        <v>299</v>
      </c>
      <c r="B281" t="s">
        <v>20</v>
      </c>
      <c r="C281" s="10">
        <v>45382</v>
      </c>
      <c r="D281" s="18" t="str">
        <f t="shared" si="12"/>
        <v>March</v>
      </c>
      <c r="E281" s="11" t="str">
        <f t="shared" si="13"/>
        <v>2024</v>
      </c>
      <c r="F281" t="s">
        <v>24</v>
      </c>
      <c r="G281" s="2">
        <v>267265</v>
      </c>
      <c r="H281" s="2">
        <v>129762</v>
      </c>
      <c r="I281" s="2">
        <v>4658</v>
      </c>
      <c r="J281" s="2">
        <v>3705</v>
      </c>
      <c r="K281" s="2">
        <v>1986</v>
      </c>
      <c r="L281" s="5">
        <f t="shared" si="14"/>
        <v>7.9753702933062068E-2</v>
      </c>
    </row>
    <row r="282" spans="1:12" x14ac:dyDescent="0.25">
      <c r="A282" t="s">
        <v>300</v>
      </c>
      <c r="B282" t="s">
        <v>11</v>
      </c>
      <c r="C282" s="10">
        <v>45987</v>
      </c>
      <c r="D282" s="18" t="str">
        <f t="shared" si="12"/>
        <v>November</v>
      </c>
      <c r="E282" s="11" t="str">
        <f t="shared" si="13"/>
        <v>2025</v>
      </c>
      <c r="F282" t="s">
        <v>32</v>
      </c>
      <c r="G282" s="2">
        <v>15655</v>
      </c>
      <c r="H282" s="2">
        <v>8593</v>
      </c>
      <c r="I282" s="2">
        <v>328</v>
      </c>
      <c r="J282" s="2">
        <v>153</v>
      </c>
      <c r="K282" s="2">
        <v>116</v>
      </c>
      <c r="L282" s="5">
        <f t="shared" si="14"/>
        <v>6.9475154195275224E-2</v>
      </c>
    </row>
    <row r="283" spans="1:12" x14ac:dyDescent="0.25">
      <c r="A283" t="s">
        <v>301</v>
      </c>
      <c r="B283" t="s">
        <v>11</v>
      </c>
      <c r="C283" s="10">
        <v>45633</v>
      </c>
      <c r="D283" s="18" t="str">
        <f t="shared" si="12"/>
        <v>December</v>
      </c>
      <c r="E283" s="11" t="str">
        <f t="shared" si="13"/>
        <v>2024</v>
      </c>
      <c r="F283" t="s">
        <v>18</v>
      </c>
      <c r="G283" s="2">
        <v>50893</v>
      </c>
      <c r="H283" s="2">
        <v>32443</v>
      </c>
      <c r="I283" s="2">
        <v>580</v>
      </c>
      <c r="J283" s="2">
        <v>105</v>
      </c>
      <c r="K283" s="2">
        <v>827</v>
      </c>
      <c r="L283" s="5">
        <f t="shared" si="14"/>
        <v>4.6604814597910181E-2</v>
      </c>
    </row>
    <row r="284" spans="1:12" x14ac:dyDescent="0.25">
      <c r="A284" t="s">
        <v>302</v>
      </c>
      <c r="B284" t="s">
        <v>20</v>
      </c>
      <c r="C284" s="10">
        <v>45512</v>
      </c>
      <c r="D284" s="18" t="str">
        <f t="shared" si="12"/>
        <v>August</v>
      </c>
      <c r="E284" s="11" t="str">
        <f t="shared" si="13"/>
        <v>2024</v>
      </c>
      <c r="F284" t="s">
        <v>18</v>
      </c>
      <c r="G284" s="2">
        <v>124057</v>
      </c>
      <c r="H284" s="2">
        <v>43671</v>
      </c>
      <c r="I284" s="2">
        <v>5159</v>
      </c>
      <c r="J284" s="2">
        <v>598</v>
      </c>
      <c r="K284" s="2">
        <v>1119</v>
      </c>
      <c r="L284" s="5">
        <f t="shared" si="14"/>
        <v>0.15745002404341554</v>
      </c>
    </row>
    <row r="285" spans="1:12" x14ac:dyDescent="0.25">
      <c r="A285" t="s">
        <v>303</v>
      </c>
      <c r="B285" t="s">
        <v>20</v>
      </c>
      <c r="C285" s="10">
        <v>45550</v>
      </c>
      <c r="D285" s="18" t="str">
        <f t="shared" si="12"/>
        <v>September</v>
      </c>
      <c r="E285" s="11" t="str">
        <f t="shared" si="13"/>
        <v>2024</v>
      </c>
      <c r="F285" t="s">
        <v>24</v>
      </c>
      <c r="G285" s="2">
        <v>317606</v>
      </c>
      <c r="H285" s="2">
        <v>204299</v>
      </c>
      <c r="I285" s="2">
        <v>6349</v>
      </c>
      <c r="J285" s="2">
        <v>5077</v>
      </c>
      <c r="K285" s="2">
        <v>3835</v>
      </c>
      <c r="L285" s="5">
        <f t="shared" si="14"/>
        <v>7.4699337735378055E-2</v>
      </c>
    </row>
    <row r="286" spans="1:12" x14ac:dyDescent="0.25">
      <c r="A286" t="s">
        <v>304</v>
      </c>
      <c r="B286" t="s">
        <v>20</v>
      </c>
      <c r="C286" s="10">
        <v>45521</v>
      </c>
      <c r="D286" s="18" t="str">
        <f t="shared" si="12"/>
        <v>August</v>
      </c>
      <c r="E286" s="11" t="str">
        <f t="shared" si="13"/>
        <v>2024</v>
      </c>
      <c r="F286" t="s">
        <v>24</v>
      </c>
      <c r="G286" s="2">
        <v>130990</v>
      </c>
      <c r="H286" s="2">
        <v>74173</v>
      </c>
      <c r="I286" s="2">
        <v>7846</v>
      </c>
      <c r="J286" s="2">
        <v>583</v>
      </c>
      <c r="K286" s="2">
        <v>1506</v>
      </c>
      <c r="L286" s="5">
        <f t="shared" si="14"/>
        <v>0.13394361829776333</v>
      </c>
    </row>
    <row r="287" spans="1:12" x14ac:dyDescent="0.25">
      <c r="A287" t="s">
        <v>305</v>
      </c>
      <c r="B287" t="s">
        <v>14</v>
      </c>
      <c r="C287" s="10">
        <v>45345</v>
      </c>
      <c r="D287" s="18" t="str">
        <f t="shared" si="12"/>
        <v>February</v>
      </c>
      <c r="E287" s="11" t="str">
        <f t="shared" si="13"/>
        <v>2024</v>
      </c>
      <c r="F287" t="s">
        <v>18</v>
      </c>
      <c r="G287" s="2">
        <v>19221</v>
      </c>
      <c r="H287" s="2">
        <v>8063</v>
      </c>
      <c r="I287" s="2">
        <v>629</v>
      </c>
      <c r="J287" s="2">
        <v>38</v>
      </c>
      <c r="K287" s="2">
        <v>17</v>
      </c>
      <c r="L287" s="5">
        <f t="shared" si="14"/>
        <v>8.4831948406300386E-2</v>
      </c>
    </row>
    <row r="288" spans="1:12" x14ac:dyDescent="0.25">
      <c r="A288" t="s">
        <v>306</v>
      </c>
      <c r="B288" t="s">
        <v>14</v>
      </c>
      <c r="C288" s="10">
        <v>45454</v>
      </c>
      <c r="D288" s="18" t="str">
        <f t="shared" si="12"/>
        <v>June</v>
      </c>
      <c r="E288" s="11" t="str">
        <f t="shared" si="13"/>
        <v>2024</v>
      </c>
      <c r="F288" t="s">
        <v>18</v>
      </c>
      <c r="G288" s="2">
        <v>48127</v>
      </c>
      <c r="H288" s="2">
        <v>28544</v>
      </c>
      <c r="I288" s="2">
        <v>692</v>
      </c>
      <c r="J288" s="2">
        <v>260</v>
      </c>
      <c r="K288" s="2">
        <v>141</v>
      </c>
      <c r="L288" s="5">
        <f t="shared" si="14"/>
        <v>3.82917600896861E-2</v>
      </c>
    </row>
    <row r="289" spans="1:12" x14ac:dyDescent="0.25">
      <c r="A289" t="s">
        <v>307</v>
      </c>
      <c r="B289" t="s">
        <v>11</v>
      </c>
      <c r="C289" s="10">
        <v>45564</v>
      </c>
      <c r="D289" s="18" t="str">
        <f t="shared" si="12"/>
        <v>September</v>
      </c>
      <c r="E289" s="11" t="str">
        <f t="shared" si="13"/>
        <v>2024</v>
      </c>
      <c r="F289" t="s">
        <v>32</v>
      </c>
      <c r="G289" s="2">
        <v>20600</v>
      </c>
      <c r="H289" s="2">
        <v>7910</v>
      </c>
      <c r="I289" s="2">
        <v>300</v>
      </c>
      <c r="J289" s="2">
        <v>120</v>
      </c>
      <c r="K289" s="2">
        <v>167</v>
      </c>
      <c r="L289" s="5">
        <f t="shared" si="14"/>
        <v>7.4209860935524646E-2</v>
      </c>
    </row>
    <row r="290" spans="1:12" x14ac:dyDescent="0.25">
      <c r="A290" t="s">
        <v>308</v>
      </c>
      <c r="B290" t="s">
        <v>20</v>
      </c>
      <c r="C290" s="10">
        <v>45376</v>
      </c>
      <c r="D290" s="18" t="str">
        <f t="shared" si="12"/>
        <v>March</v>
      </c>
      <c r="E290" s="11" t="str">
        <f t="shared" si="13"/>
        <v>2024</v>
      </c>
      <c r="F290" t="s">
        <v>24</v>
      </c>
      <c r="G290" s="2">
        <v>267250</v>
      </c>
      <c r="H290" s="2">
        <v>160414</v>
      </c>
      <c r="I290" s="2">
        <v>16606</v>
      </c>
      <c r="J290" s="2">
        <v>2210</v>
      </c>
      <c r="K290" s="2">
        <v>6744</v>
      </c>
      <c r="L290" s="5">
        <f t="shared" si="14"/>
        <v>0.1593377136658895</v>
      </c>
    </row>
    <row r="291" spans="1:12" x14ac:dyDescent="0.25">
      <c r="A291" t="s">
        <v>309</v>
      </c>
      <c r="B291" t="s">
        <v>17</v>
      </c>
      <c r="C291" s="10">
        <v>46000</v>
      </c>
      <c r="D291" s="18" t="str">
        <f t="shared" si="12"/>
        <v>December</v>
      </c>
      <c r="E291" s="11" t="str">
        <f t="shared" si="13"/>
        <v>2025</v>
      </c>
      <c r="F291" t="s">
        <v>18</v>
      </c>
      <c r="G291" s="2">
        <v>65898</v>
      </c>
      <c r="H291" s="2">
        <v>58771</v>
      </c>
      <c r="I291" s="2">
        <v>667</v>
      </c>
      <c r="J291" s="2">
        <v>59</v>
      </c>
      <c r="K291" s="2">
        <v>1074</v>
      </c>
      <c r="L291" s="5">
        <f t="shared" si="14"/>
        <v>3.0627350223749808E-2</v>
      </c>
    </row>
    <row r="292" spans="1:12" x14ac:dyDescent="0.25">
      <c r="A292" t="s">
        <v>310</v>
      </c>
      <c r="B292" t="s">
        <v>20</v>
      </c>
      <c r="C292" s="10">
        <v>45486</v>
      </c>
      <c r="D292" s="18" t="str">
        <f t="shared" si="12"/>
        <v>July</v>
      </c>
      <c r="E292" s="11" t="str">
        <f t="shared" si="13"/>
        <v>2024</v>
      </c>
      <c r="F292" t="s">
        <v>24</v>
      </c>
      <c r="G292" s="2">
        <v>162631</v>
      </c>
      <c r="H292" s="2">
        <v>81462</v>
      </c>
      <c r="I292" s="2">
        <v>9603</v>
      </c>
      <c r="J292" s="2">
        <v>1326</v>
      </c>
      <c r="K292" s="2">
        <v>1988</v>
      </c>
      <c r="L292" s="5">
        <f t="shared" si="14"/>
        <v>0.15856472956716014</v>
      </c>
    </row>
    <row r="293" spans="1:12" x14ac:dyDescent="0.25">
      <c r="A293" t="s">
        <v>311</v>
      </c>
      <c r="B293" t="s">
        <v>20</v>
      </c>
      <c r="C293" s="10">
        <v>45734</v>
      </c>
      <c r="D293" s="18" t="str">
        <f t="shared" si="12"/>
        <v>March</v>
      </c>
      <c r="E293" s="11" t="str">
        <f t="shared" si="13"/>
        <v>2025</v>
      </c>
      <c r="F293" t="s">
        <v>18</v>
      </c>
      <c r="G293" s="2">
        <v>335925</v>
      </c>
      <c r="H293" s="2">
        <v>206102</v>
      </c>
      <c r="I293" s="2">
        <v>22794</v>
      </c>
      <c r="J293" s="2">
        <v>4283</v>
      </c>
      <c r="K293" s="2">
        <v>6109</v>
      </c>
      <c r="L293" s="5">
        <f t="shared" si="14"/>
        <v>0.16101736033614425</v>
      </c>
    </row>
    <row r="294" spans="1:12" x14ac:dyDescent="0.25">
      <c r="A294" t="s">
        <v>312</v>
      </c>
      <c r="B294" t="s">
        <v>20</v>
      </c>
      <c r="C294" s="10">
        <v>45766</v>
      </c>
      <c r="D294" s="18" t="str">
        <f t="shared" si="12"/>
        <v>April</v>
      </c>
      <c r="E294" s="11" t="str">
        <f t="shared" si="13"/>
        <v>2025</v>
      </c>
      <c r="F294" t="s">
        <v>24</v>
      </c>
      <c r="G294" s="2">
        <v>327720</v>
      </c>
      <c r="H294" s="2">
        <v>113540</v>
      </c>
      <c r="I294" s="2">
        <v>10924</v>
      </c>
      <c r="J294" s="2">
        <v>1235</v>
      </c>
      <c r="K294" s="2">
        <v>2980</v>
      </c>
      <c r="L294" s="5">
        <f t="shared" si="14"/>
        <v>0.1333362691562445</v>
      </c>
    </row>
    <row r="295" spans="1:12" x14ac:dyDescent="0.25">
      <c r="A295" t="s">
        <v>313</v>
      </c>
      <c r="B295" t="s">
        <v>20</v>
      </c>
      <c r="C295" s="10">
        <v>45529</v>
      </c>
      <c r="D295" s="18" t="str">
        <f t="shared" si="12"/>
        <v>August</v>
      </c>
      <c r="E295" s="11" t="str">
        <f t="shared" si="13"/>
        <v>2024</v>
      </c>
      <c r="F295" t="s">
        <v>18</v>
      </c>
      <c r="G295" s="2">
        <v>264001</v>
      </c>
      <c r="H295" s="2">
        <v>115285</v>
      </c>
      <c r="I295" s="2">
        <v>4168</v>
      </c>
      <c r="J295" s="2">
        <v>2054</v>
      </c>
      <c r="K295" s="2">
        <v>4790</v>
      </c>
      <c r="L295" s="5">
        <f t="shared" si="14"/>
        <v>9.5519798759595778E-2</v>
      </c>
    </row>
    <row r="296" spans="1:12" x14ac:dyDescent="0.25">
      <c r="A296" t="s">
        <v>314</v>
      </c>
      <c r="B296" t="s">
        <v>26</v>
      </c>
      <c r="C296" s="10">
        <v>45325</v>
      </c>
      <c r="D296" s="18" t="str">
        <f t="shared" si="12"/>
        <v>February</v>
      </c>
      <c r="E296" s="11" t="str">
        <f t="shared" si="13"/>
        <v>2024</v>
      </c>
      <c r="F296" t="s">
        <v>12</v>
      </c>
      <c r="G296" s="2">
        <v>8569</v>
      </c>
      <c r="H296" s="2">
        <v>5583</v>
      </c>
      <c r="I296" s="2">
        <v>211</v>
      </c>
      <c r="J296" s="2">
        <v>114</v>
      </c>
      <c r="K296" s="2">
        <v>20</v>
      </c>
      <c r="L296" s="5">
        <f t="shared" si="14"/>
        <v>6.1794734013970981E-2</v>
      </c>
    </row>
    <row r="297" spans="1:12" x14ac:dyDescent="0.25">
      <c r="A297" t="s">
        <v>315</v>
      </c>
      <c r="B297" t="s">
        <v>20</v>
      </c>
      <c r="C297" s="10">
        <v>45801</v>
      </c>
      <c r="D297" s="18" t="str">
        <f t="shared" si="12"/>
        <v>May</v>
      </c>
      <c r="E297" s="11" t="str">
        <f t="shared" si="13"/>
        <v>2025</v>
      </c>
      <c r="F297" t="s">
        <v>24</v>
      </c>
      <c r="G297" s="2">
        <v>234440</v>
      </c>
      <c r="H297" s="2">
        <v>94642</v>
      </c>
      <c r="I297" s="2">
        <v>4690</v>
      </c>
      <c r="J297" s="2">
        <v>1249</v>
      </c>
      <c r="K297" s="2">
        <v>1602</v>
      </c>
      <c r="L297" s="5">
        <f t="shared" si="14"/>
        <v>7.9679212189091519E-2</v>
      </c>
    </row>
    <row r="298" spans="1:12" x14ac:dyDescent="0.25">
      <c r="A298" t="s">
        <v>316</v>
      </c>
      <c r="B298" t="s">
        <v>14</v>
      </c>
      <c r="C298" s="10">
        <v>45940</v>
      </c>
      <c r="D298" s="18" t="str">
        <f t="shared" si="12"/>
        <v>October</v>
      </c>
      <c r="E298" s="11" t="str">
        <f t="shared" si="13"/>
        <v>2025</v>
      </c>
      <c r="F298" t="s">
        <v>18</v>
      </c>
      <c r="G298" s="2">
        <v>21886</v>
      </c>
      <c r="H298" s="2">
        <v>12065</v>
      </c>
      <c r="I298" s="2">
        <v>810</v>
      </c>
      <c r="J298" s="2">
        <v>125</v>
      </c>
      <c r="K298" s="2">
        <v>31</v>
      </c>
      <c r="L298" s="5">
        <f t="shared" si="14"/>
        <v>8.0066307501036049E-2</v>
      </c>
    </row>
    <row r="299" spans="1:12" x14ac:dyDescent="0.25">
      <c r="A299" t="s">
        <v>317</v>
      </c>
      <c r="B299" t="s">
        <v>14</v>
      </c>
      <c r="C299" s="10">
        <v>45397</v>
      </c>
      <c r="D299" s="18" t="str">
        <f t="shared" si="12"/>
        <v>April</v>
      </c>
      <c r="E299" s="11" t="str">
        <f t="shared" si="13"/>
        <v>2024</v>
      </c>
      <c r="F299" t="s">
        <v>32</v>
      </c>
      <c r="G299" s="2">
        <v>46055</v>
      </c>
      <c r="H299" s="2">
        <v>30899</v>
      </c>
      <c r="I299" s="2">
        <v>925</v>
      </c>
      <c r="J299" s="2">
        <v>408</v>
      </c>
      <c r="K299" s="2">
        <v>128</v>
      </c>
      <c r="L299" s="5">
        <f t="shared" si="14"/>
        <v>4.7283083594938345E-2</v>
      </c>
    </row>
    <row r="300" spans="1:12" x14ac:dyDescent="0.25">
      <c r="A300" t="s">
        <v>318</v>
      </c>
      <c r="B300" t="s">
        <v>26</v>
      </c>
      <c r="C300" s="10">
        <v>45336</v>
      </c>
      <c r="D300" s="18" t="str">
        <f t="shared" si="12"/>
        <v>February</v>
      </c>
      <c r="E300" s="11" t="str">
        <f t="shared" si="13"/>
        <v>2024</v>
      </c>
      <c r="F300" t="s">
        <v>18</v>
      </c>
      <c r="G300" s="2">
        <v>32987</v>
      </c>
      <c r="H300" s="2">
        <v>20391</v>
      </c>
      <c r="I300" s="2">
        <v>898</v>
      </c>
      <c r="J300" s="2">
        <v>496</v>
      </c>
      <c r="K300" s="2">
        <v>105</v>
      </c>
      <c r="L300" s="5">
        <f t="shared" si="14"/>
        <v>7.3512824285223877E-2</v>
      </c>
    </row>
    <row r="301" spans="1:12" x14ac:dyDescent="0.25">
      <c r="A301" t="s">
        <v>319</v>
      </c>
      <c r="B301" t="s">
        <v>14</v>
      </c>
      <c r="C301" s="10">
        <v>45554</v>
      </c>
      <c r="D301" s="18" t="str">
        <f t="shared" si="12"/>
        <v>September</v>
      </c>
      <c r="E301" s="11" t="str">
        <f t="shared" si="13"/>
        <v>2024</v>
      </c>
      <c r="F301" t="s">
        <v>15</v>
      </c>
      <c r="G301" s="2">
        <v>19452</v>
      </c>
      <c r="H301" s="2">
        <v>12056</v>
      </c>
      <c r="I301" s="2">
        <v>928</v>
      </c>
      <c r="J301" s="2">
        <v>152</v>
      </c>
      <c r="K301" s="2">
        <v>26</v>
      </c>
      <c r="L301" s="5">
        <f t="shared" si="14"/>
        <v>9.1738553417385529E-2</v>
      </c>
    </row>
    <row r="302" spans="1:12" x14ac:dyDescent="0.25">
      <c r="A302" t="s">
        <v>320</v>
      </c>
      <c r="B302" t="s">
        <v>11</v>
      </c>
      <c r="C302" s="10">
        <v>45297</v>
      </c>
      <c r="D302" s="18" t="str">
        <f t="shared" si="12"/>
        <v>January</v>
      </c>
      <c r="E302" s="11" t="str">
        <f t="shared" si="13"/>
        <v>2024</v>
      </c>
      <c r="F302" t="s">
        <v>18</v>
      </c>
      <c r="G302" s="2">
        <v>39173</v>
      </c>
      <c r="H302" s="2">
        <v>14507</v>
      </c>
      <c r="I302" s="2">
        <v>674</v>
      </c>
      <c r="J302" s="2">
        <v>179</v>
      </c>
      <c r="K302" s="2">
        <v>428</v>
      </c>
      <c r="L302" s="5">
        <f t="shared" si="14"/>
        <v>8.8302198938443516E-2</v>
      </c>
    </row>
    <row r="303" spans="1:12" x14ac:dyDescent="0.25">
      <c r="A303" t="s">
        <v>321</v>
      </c>
      <c r="B303" t="s">
        <v>17</v>
      </c>
      <c r="C303" s="10">
        <v>46016</v>
      </c>
      <c r="D303" s="18" t="str">
        <f t="shared" si="12"/>
        <v>December</v>
      </c>
      <c r="E303" s="11" t="str">
        <f t="shared" si="13"/>
        <v>2025</v>
      </c>
      <c r="F303" t="s">
        <v>18</v>
      </c>
      <c r="G303" s="2">
        <v>7902</v>
      </c>
      <c r="H303" s="2">
        <v>6279</v>
      </c>
      <c r="I303" s="2">
        <v>145</v>
      </c>
      <c r="J303" s="2">
        <v>34</v>
      </c>
      <c r="K303" s="2">
        <v>106</v>
      </c>
      <c r="L303" s="5">
        <f t="shared" si="14"/>
        <v>4.5389393215480175E-2</v>
      </c>
    </row>
    <row r="304" spans="1:12" x14ac:dyDescent="0.25">
      <c r="A304" t="s">
        <v>322</v>
      </c>
      <c r="B304" t="s">
        <v>20</v>
      </c>
      <c r="C304" s="10">
        <v>45856</v>
      </c>
      <c r="D304" s="18" t="str">
        <f t="shared" si="12"/>
        <v>July</v>
      </c>
      <c r="E304" s="11" t="str">
        <f t="shared" si="13"/>
        <v>2025</v>
      </c>
      <c r="F304" t="s">
        <v>18</v>
      </c>
      <c r="G304" s="2">
        <v>179612</v>
      </c>
      <c r="H304" s="2">
        <v>121236</v>
      </c>
      <c r="I304" s="2">
        <v>13155</v>
      </c>
      <c r="J304" s="2">
        <v>2428</v>
      </c>
      <c r="K304" s="2">
        <v>1907</v>
      </c>
      <c r="L304" s="5">
        <f t="shared" si="14"/>
        <v>0.14426407997624469</v>
      </c>
    </row>
    <row r="305" spans="1:12" x14ac:dyDescent="0.25">
      <c r="A305" t="s">
        <v>323</v>
      </c>
      <c r="B305" t="s">
        <v>26</v>
      </c>
      <c r="C305" s="10">
        <v>45998</v>
      </c>
      <c r="D305" s="18" t="str">
        <f t="shared" si="12"/>
        <v>December</v>
      </c>
      <c r="E305" s="11" t="str">
        <f t="shared" si="13"/>
        <v>2025</v>
      </c>
      <c r="F305" t="s">
        <v>15</v>
      </c>
      <c r="G305" s="2">
        <v>13777</v>
      </c>
      <c r="H305" s="2">
        <v>10680</v>
      </c>
      <c r="I305" s="2">
        <v>458</v>
      </c>
      <c r="J305" s="2">
        <v>101</v>
      </c>
      <c r="K305" s="2">
        <v>126</v>
      </c>
      <c r="L305" s="5">
        <f t="shared" si="14"/>
        <v>6.4138576779026221E-2</v>
      </c>
    </row>
    <row r="306" spans="1:12" x14ac:dyDescent="0.25">
      <c r="A306" t="s">
        <v>324</v>
      </c>
      <c r="B306" t="s">
        <v>14</v>
      </c>
      <c r="C306" s="10">
        <v>45319</v>
      </c>
      <c r="D306" s="18" t="str">
        <f t="shared" si="12"/>
        <v>January</v>
      </c>
      <c r="E306" s="11" t="str">
        <f t="shared" si="13"/>
        <v>2024</v>
      </c>
      <c r="F306" t="s">
        <v>18</v>
      </c>
      <c r="G306" s="2">
        <v>21373</v>
      </c>
      <c r="H306" s="2">
        <v>11115</v>
      </c>
      <c r="I306" s="2">
        <v>472</v>
      </c>
      <c r="J306" s="2">
        <v>31</v>
      </c>
      <c r="K306" s="2">
        <v>34</v>
      </c>
      <c r="L306" s="5">
        <f t="shared" si="14"/>
        <v>4.8313090418353577E-2</v>
      </c>
    </row>
    <row r="307" spans="1:12" x14ac:dyDescent="0.25">
      <c r="A307" t="s">
        <v>325</v>
      </c>
      <c r="B307" t="s">
        <v>11</v>
      </c>
      <c r="C307" s="10">
        <v>45712</v>
      </c>
      <c r="D307" s="18" t="str">
        <f t="shared" si="12"/>
        <v>February</v>
      </c>
      <c r="E307" s="11" t="str">
        <f t="shared" si="13"/>
        <v>2025</v>
      </c>
      <c r="F307" t="s">
        <v>18</v>
      </c>
      <c r="G307" s="2">
        <v>17863</v>
      </c>
      <c r="H307" s="2">
        <v>6969</v>
      </c>
      <c r="I307" s="2">
        <v>286</v>
      </c>
      <c r="J307" s="2">
        <v>48</v>
      </c>
      <c r="K307" s="2">
        <v>141</v>
      </c>
      <c r="L307" s="5">
        <f t="shared" si="14"/>
        <v>6.8158989812024687E-2</v>
      </c>
    </row>
    <row r="308" spans="1:12" x14ac:dyDescent="0.25">
      <c r="A308" t="s">
        <v>326</v>
      </c>
      <c r="B308" t="s">
        <v>17</v>
      </c>
      <c r="C308" s="10">
        <v>45508</v>
      </c>
      <c r="D308" s="18" t="str">
        <f t="shared" si="12"/>
        <v>August</v>
      </c>
      <c r="E308" s="11" t="str">
        <f t="shared" si="13"/>
        <v>2024</v>
      </c>
      <c r="F308" t="s">
        <v>15</v>
      </c>
      <c r="G308" s="2">
        <v>805</v>
      </c>
      <c r="H308" s="2">
        <v>681</v>
      </c>
      <c r="I308" s="2">
        <v>13</v>
      </c>
      <c r="J308" s="2">
        <v>0</v>
      </c>
      <c r="K308" s="2">
        <v>12</v>
      </c>
      <c r="L308" s="5">
        <f t="shared" si="14"/>
        <v>3.6710719530102791E-2</v>
      </c>
    </row>
    <row r="309" spans="1:12" x14ac:dyDescent="0.25">
      <c r="A309" t="s">
        <v>327</v>
      </c>
      <c r="B309" t="s">
        <v>11</v>
      </c>
      <c r="C309" s="10">
        <v>45346</v>
      </c>
      <c r="D309" s="18" t="str">
        <f t="shared" si="12"/>
        <v>February</v>
      </c>
      <c r="E309" s="11" t="str">
        <f t="shared" si="13"/>
        <v>2024</v>
      </c>
      <c r="F309" t="s">
        <v>12</v>
      </c>
      <c r="G309" s="2">
        <v>22335</v>
      </c>
      <c r="H309" s="2">
        <v>7481</v>
      </c>
      <c r="I309" s="2">
        <v>117</v>
      </c>
      <c r="J309" s="2">
        <v>51</v>
      </c>
      <c r="K309" s="2">
        <v>202</v>
      </c>
      <c r="L309" s="5">
        <f t="shared" si="14"/>
        <v>4.9458628525598181E-2</v>
      </c>
    </row>
    <row r="310" spans="1:12" x14ac:dyDescent="0.25">
      <c r="A310" t="s">
        <v>328</v>
      </c>
      <c r="B310" t="s">
        <v>26</v>
      </c>
      <c r="C310" s="10">
        <v>45321</v>
      </c>
      <c r="D310" s="18" t="str">
        <f t="shared" si="12"/>
        <v>January</v>
      </c>
      <c r="E310" s="11" t="str">
        <f t="shared" si="13"/>
        <v>2024</v>
      </c>
      <c r="F310" t="s">
        <v>18</v>
      </c>
      <c r="G310" s="2">
        <v>21766</v>
      </c>
      <c r="H310" s="2">
        <v>17113</v>
      </c>
      <c r="I310" s="2">
        <v>572</v>
      </c>
      <c r="J310" s="2">
        <v>249</v>
      </c>
      <c r="K310" s="2">
        <v>239</v>
      </c>
      <c r="L310" s="5">
        <f t="shared" si="14"/>
        <v>6.1941214281540348E-2</v>
      </c>
    </row>
    <row r="311" spans="1:12" x14ac:dyDescent="0.25">
      <c r="A311" t="s">
        <v>329</v>
      </c>
      <c r="B311" t="s">
        <v>20</v>
      </c>
      <c r="C311" s="10">
        <v>46003</v>
      </c>
      <c r="D311" s="18" t="str">
        <f t="shared" si="12"/>
        <v>December</v>
      </c>
      <c r="E311" s="11" t="str">
        <f t="shared" si="13"/>
        <v>2025</v>
      </c>
      <c r="F311" t="s">
        <v>24</v>
      </c>
      <c r="G311" s="2">
        <v>221514</v>
      </c>
      <c r="H311" s="2">
        <v>79009</v>
      </c>
      <c r="I311" s="2">
        <v>4522</v>
      </c>
      <c r="J311" s="2">
        <v>723</v>
      </c>
      <c r="K311" s="2">
        <v>3424</v>
      </c>
      <c r="L311" s="5">
        <f t="shared" si="14"/>
        <v>0.10972167727727221</v>
      </c>
    </row>
    <row r="312" spans="1:12" x14ac:dyDescent="0.25">
      <c r="A312" t="s">
        <v>330</v>
      </c>
      <c r="B312" t="s">
        <v>20</v>
      </c>
      <c r="C312" s="10">
        <v>45403</v>
      </c>
      <c r="D312" s="18" t="str">
        <f t="shared" si="12"/>
        <v>April</v>
      </c>
      <c r="E312" s="11" t="str">
        <f t="shared" si="13"/>
        <v>2024</v>
      </c>
      <c r="F312" t="s">
        <v>18</v>
      </c>
      <c r="G312" s="2">
        <v>486111</v>
      </c>
      <c r="H312" s="2">
        <v>244556</v>
      </c>
      <c r="I312" s="2">
        <v>28634</v>
      </c>
      <c r="J312" s="2">
        <v>6389</v>
      </c>
      <c r="K312" s="2">
        <v>6666</v>
      </c>
      <c r="L312" s="5">
        <f t="shared" si="14"/>
        <v>0.17046811364268308</v>
      </c>
    </row>
    <row r="313" spans="1:12" x14ac:dyDescent="0.25">
      <c r="A313" t="s">
        <v>331</v>
      </c>
      <c r="B313" t="s">
        <v>14</v>
      </c>
      <c r="C313" s="10">
        <v>45581</v>
      </c>
      <c r="D313" s="18" t="str">
        <f t="shared" si="12"/>
        <v>October</v>
      </c>
      <c r="E313" s="11" t="str">
        <f t="shared" si="13"/>
        <v>2024</v>
      </c>
      <c r="F313" t="s">
        <v>24</v>
      </c>
      <c r="G313" s="2">
        <v>25657</v>
      </c>
      <c r="H313" s="2">
        <v>12582</v>
      </c>
      <c r="I313" s="2">
        <v>378</v>
      </c>
      <c r="J313" s="2">
        <v>143</v>
      </c>
      <c r="K313" s="2">
        <v>70</v>
      </c>
      <c r="L313" s="5">
        <f t="shared" si="14"/>
        <v>4.6971864568431089E-2</v>
      </c>
    </row>
    <row r="314" spans="1:12" x14ac:dyDescent="0.25">
      <c r="A314" t="s">
        <v>332</v>
      </c>
      <c r="B314" t="s">
        <v>20</v>
      </c>
      <c r="C314" s="10">
        <v>45955</v>
      </c>
      <c r="D314" s="18" t="str">
        <f t="shared" si="12"/>
        <v>October</v>
      </c>
      <c r="E314" s="11" t="str">
        <f t="shared" si="13"/>
        <v>2025</v>
      </c>
      <c r="F314" t="s">
        <v>24</v>
      </c>
      <c r="G314" s="2">
        <v>217580</v>
      </c>
      <c r="H314" s="2">
        <v>151146</v>
      </c>
      <c r="I314" s="2">
        <v>8855</v>
      </c>
      <c r="J314" s="2">
        <v>3232</v>
      </c>
      <c r="K314" s="2">
        <v>3214</v>
      </c>
      <c r="L314" s="5">
        <f t="shared" si="14"/>
        <v>0.10123324467733186</v>
      </c>
    </row>
    <row r="315" spans="1:12" x14ac:dyDescent="0.25">
      <c r="A315" t="s">
        <v>333</v>
      </c>
      <c r="B315" t="s">
        <v>14</v>
      </c>
      <c r="C315" s="10">
        <v>45607</v>
      </c>
      <c r="D315" s="18" t="str">
        <f t="shared" si="12"/>
        <v>November</v>
      </c>
      <c r="E315" s="11" t="str">
        <f t="shared" si="13"/>
        <v>2024</v>
      </c>
      <c r="F315" t="s">
        <v>32</v>
      </c>
      <c r="G315" s="2">
        <v>34200</v>
      </c>
      <c r="H315" s="2">
        <v>16557</v>
      </c>
      <c r="I315" s="2">
        <v>538</v>
      </c>
      <c r="J315" s="2">
        <v>120</v>
      </c>
      <c r="K315" s="2">
        <v>128</v>
      </c>
      <c r="L315" s="5">
        <f t="shared" si="14"/>
        <v>4.7472368182641785E-2</v>
      </c>
    </row>
    <row r="316" spans="1:12" x14ac:dyDescent="0.25">
      <c r="A316" t="s">
        <v>334</v>
      </c>
      <c r="B316" t="s">
        <v>11</v>
      </c>
      <c r="C316" s="10">
        <v>45669</v>
      </c>
      <c r="D316" s="18" t="str">
        <f t="shared" si="12"/>
        <v>January</v>
      </c>
      <c r="E316" s="11" t="str">
        <f t="shared" si="13"/>
        <v>2025</v>
      </c>
      <c r="F316" t="s">
        <v>15</v>
      </c>
      <c r="G316" s="2">
        <v>3795</v>
      </c>
      <c r="H316" s="2">
        <v>1430</v>
      </c>
      <c r="I316" s="2">
        <v>25</v>
      </c>
      <c r="J316" s="2">
        <v>17</v>
      </c>
      <c r="K316" s="2">
        <v>35</v>
      </c>
      <c r="L316" s="5">
        <f t="shared" si="14"/>
        <v>5.3846153846153849E-2</v>
      </c>
    </row>
    <row r="317" spans="1:12" x14ac:dyDescent="0.25">
      <c r="A317" t="s">
        <v>335</v>
      </c>
      <c r="B317" t="s">
        <v>14</v>
      </c>
      <c r="C317" s="10">
        <v>45556</v>
      </c>
      <c r="D317" s="18" t="str">
        <f t="shared" si="12"/>
        <v>September</v>
      </c>
      <c r="E317" s="11" t="str">
        <f t="shared" si="13"/>
        <v>2024</v>
      </c>
      <c r="F317" t="s">
        <v>24</v>
      </c>
      <c r="G317" s="2">
        <v>94750</v>
      </c>
      <c r="H317" s="2">
        <v>68512</v>
      </c>
      <c r="I317" s="2">
        <v>2924</v>
      </c>
      <c r="J317" s="2">
        <v>257</v>
      </c>
      <c r="K317" s="2">
        <v>590</v>
      </c>
      <c r="L317" s="5">
        <f t="shared" si="14"/>
        <v>5.5041452592246611E-2</v>
      </c>
    </row>
    <row r="318" spans="1:12" x14ac:dyDescent="0.25">
      <c r="A318" t="s">
        <v>336</v>
      </c>
      <c r="B318" t="s">
        <v>20</v>
      </c>
      <c r="C318" s="10">
        <v>45763</v>
      </c>
      <c r="D318" s="18" t="str">
        <f t="shared" si="12"/>
        <v>April</v>
      </c>
      <c r="E318" s="11" t="str">
        <f t="shared" si="13"/>
        <v>2025</v>
      </c>
      <c r="F318" t="s">
        <v>24</v>
      </c>
      <c r="G318" s="2">
        <v>306186</v>
      </c>
      <c r="H318" s="2">
        <v>114749</v>
      </c>
      <c r="I318" s="2">
        <v>11613</v>
      </c>
      <c r="J318" s="2">
        <v>2656</v>
      </c>
      <c r="K318" s="2">
        <v>1592</v>
      </c>
      <c r="L318" s="5">
        <f t="shared" si="14"/>
        <v>0.13822342678367566</v>
      </c>
    </row>
    <row r="319" spans="1:12" x14ac:dyDescent="0.25">
      <c r="A319" t="s">
        <v>337</v>
      </c>
      <c r="B319" t="s">
        <v>17</v>
      </c>
      <c r="C319" s="10">
        <v>45649</v>
      </c>
      <c r="D319" s="18" t="str">
        <f t="shared" si="12"/>
        <v>December</v>
      </c>
      <c r="E319" s="11" t="str">
        <f t="shared" si="13"/>
        <v>2024</v>
      </c>
      <c r="F319" t="s">
        <v>12</v>
      </c>
      <c r="G319" s="2">
        <v>13381</v>
      </c>
      <c r="H319" s="2">
        <v>11208</v>
      </c>
      <c r="I319" s="2">
        <v>181</v>
      </c>
      <c r="J319" s="2">
        <v>44</v>
      </c>
      <c r="K319" s="2">
        <v>92</v>
      </c>
      <c r="L319" s="5">
        <f t="shared" si="14"/>
        <v>2.8283369022127053E-2</v>
      </c>
    </row>
    <row r="320" spans="1:12" x14ac:dyDescent="0.25">
      <c r="A320" t="s">
        <v>338</v>
      </c>
      <c r="B320" t="s">
        <v>17</v>
      </c>
      <c r="C320" s="10">
        <v>45495</v>
      </c>
      <c r="D320" s="18" t="str">
        <f t="shared" si="12"/>
        <v>July</v>
      </c>
      <c r="E320" s="11" t="str">
        <f t="shared" si="13"/>
        <v>2024</v>
      </c>
      <c r="F320" t="s">
        <v>12</v>
      </c>
      <c r="G320" s="2">
        <v>4088</v>
      </c>
      <c r="H320" s="2">
        <v>2737</v>
      </c>
      <c r="I320" s="2">
        <v>22</v>
      </c>
      <c r="J320" s="2">
        <v>14</v>
      </c>
      <c r="K320" s="2">
        <v>35</v>
      </c>
      <c r="L320" s="5">
        <f t="shared" si="14"/>
        <v>2.5940811107051515E-2</v>
      </c>
    </row>
    <row r="321" spans="1:12" x14ac:dyDescent="0.25">
      <c r="A321" t="s">
        <v>339</v>
      </c>
      <c r="B321" t="s">
        <v>20</v>
      </c>
      <c r="C321" s="10">
        <v>45693</v>
      </c>
      <c r="D321" s="18" t="str">
        <f t="shared" si="12"/>
        <v>February</v>
      </c>
      <c r="E321" s="11" t="str">
        <f t="shared" si="13"/>
        <v>2025</v>
      </c>
      <c r="F321" t="s">
        <v>18</v>
      </c>
      <c r="G321" s="2">
        <v>5598</v>
      </c>
      <c r="H321" s="2">
        <v>3682</v>
      </c>
      <c r="I321" s="2">
        <v>386</v>
      </c>
      <c r="J321" s="2">
        <v>49</v>
      </c>
      <c r="K321" s="2">
        <v>103</v>
      </c>
      <c r="L321" s="5">
        <f t="shared" si="14"/>
        <v>0.1461162411732754</v>
      </c>
    </row>
    <row r="322" spans="1:12" x14ac:dyDescent="0.25">
      <c r="A322" t="s">
        <v>340</v>
      </c>
      <c r="B322" t="s">
        <v>20</v>
      </c>
      <c r="C322" s="10">
        <v>45762</v>
      </c>
      <c r="D322" s="18" t="str">
        <f t="shared" si="12"/>
        <v>April</v>
      </c>
      <c r="E322" s="11" t="str">
        <f t="shared" si="13"/>
        <v>2025</v>
      </c>
      <c r="F322" t="s">
        <v>18</v>
      </c>
      <c r="G322" s="2">
        <v>306705</v>
      </c>
      <c r="H322" s="2">
        <v>134992</v>
      </c>
      <c r="I322" s="2">
        <v>9568</v>
      </c>
      <c r="J322" s="2">
        <v>3423</v>
      </c>
      <c r="K322" s="2">
        <v>4805</v>
      </c>
      <c r="L322" s="5">
        <f t="shared" si="14"/>
        <v>0.13183003437240726</v>
      </c>
    </row>
    <row r="323" spans="1:12" x14ac:dyDescent="0.25">
      <c r="A323" t="s">
        <v>341</v>
      </c>
      <c r="B323" t="s">
        <v>26</v>
      </c>
      <c r="C323" s="10">
        <v>45915</v>
      </c>
      <c r="D323" s="18" t="str">
        <f t="shared" ref="D323:D386" si="15">TEXT($C323,"MMMM")</f>
        <v>September</v>
      </c>
      <c r="E323" s="11" t="str">
        <f t="shared" ref="E323:E386" si="16">TEXT(C323,"yyyy")</f>
        <v>2025</v>
      </c>
      <c r="F323" t="s">
        <v>18</v>
      </c>
      <c r="G323" s="2">
        <v>30792</v>
      </c>
      <c r="H323" s="2">
        <v>12851</v>
      </c>
      <c r="I323" s="2">
        <v>505</v>
      </c>
      <c r="J323" s="2">
        <v>316</v>
      </c>
      <c r="K323" s="2">
        <v>165</v>
      </c>
      <c r="L323" s="5">
        <f t="shared" ref="L323:L386" si="17">SUM(I323:K323)/H323</f>
        <v>7.6725546650066145E-2</v>
      </c>
    </row>
    <row r="324" spans="1:12" x14ac:dyDescent="0.25">
      <c r="A324" t="s">
        <v>342</v>
      </c>
      <c r="B324" t="s">
        <v>14</v>
      </c>
      <c r="C324" s="10">
        <v>45746</v>
      </c>
      <c r="D324" s="18" t="str">
        <f t="shared" si="15"/>
        <v>March</v>
      </c>
      <c r="E324" s="11" t="str">
        <f t="shared" si="16"/>
        <v>2025</v>
      </c>
      <c r="F324" t="s">
        <v>24</v>
      </c>
      <c r="G324" s="2">
        <v>73153</v>
      </c>
      <c r="H324" s="2">
        <v>56905</v>
      </c>
      <c r="I324" s="2">
        <v>1484</v>
      </c>
      <c r="J324" s="2">
        <v>708</v>
      </c>
      <c r="K324" s="2">
        <v>160</v>
      </c>
      <c r="L324" s="5">
        <f t="shared" si="17"/>
        <v>4.1332044635796504E-2</v>
      </c>
    </row>
    <row r="325" spans="1:12" x14ac:dyDescent="0.25">
      <c r="A325" t="s">
        <v>343</v>
      </c>
      <c r="B325" t="s">
        <v>11</v>
      </c>
      <c r="C325" s="10">
        <v>45624</v>
      </c>
      <c r="D325" s="18" t="str">
        <f t="shared" si="15"/>
        <v>November</v>
      </c>
      <c r="E325" s="11" t="str">
        <f t="shared" si="16"/>
        <v>2024</v>
      </c>
      <c r="F325" t="s">
        <v>15</v>
      </c>
      <c r="G325" s="2">
        <v>10732</v>
      </c>
      <c r="H325" s="2">
        <v>3373</v>
      </c>
      <c r="I325" s="2">
        <v>123</v>
      </c>
      <c r="J325" s="2">
        <v>36</v>
      </c>
      <c r="K325" s="2">
        <v>44</v>
      </c>
      <c r="L325" s="5">
        <f t="shared" si="17"/>
        <v>6.0183812629706492E-2</v>
      </c>
    </row>
    <row r="326" spans="1:12" x14ac:dyDescent="0.25">
      <c r="A326" t="s">
        <v>344</v>
      </c>
      <c r="B326" t="s">
        <v>14</v>
      </c>
      <c r="C326" s="10">
        <v>45546</v>
      </c>
      <c r="D326" s="18" t="str">
        <f t="shared" si="15"/>
        <v>September</v>
      </c>
      <c r="E326" s="11" t="str">
        <f t="shared" si="16"/>
        <v>2024</v>
      </c>
      <c r="F326" t="s">
        <v>18</v>
      </c>
      <c r="G326" s="2">
        <v>93195</v>
      </c>
      <c r="H326" s="2">
        <v>60976</v>
      </c>
      <c r="I326" s="2">
        <v>3788</v>
      </c>
      <c r="J326" s="2">
        <v>358</v>
      </c>
      <c r="K326" s="2">
        <v>80</v>
      </c>
      <c r="L326" s="5">
        <f t="shared" si="17"/>
        <v>6.9305956441878772E-2</v>
      </c>
    </row>
    <row r="327" spans="1:12" x14ac:dyDescent="0.25">
      <c r="A327" t="s">
        <v>345</v>
      </c>
      <c r="B327" t="s">
        <v>26</v>
      </c>
      <c r="C327" s="10">
        <v>45386</v>
      </c>
      <c r="D327" s="18" t="str">
        <f t="shared" si="15"/>
        <v>April</v>
      </c>
      <c r="E327" s="11" t="str">
        <f t="shared" si="16"/>
        <v>2024</v>
      </c>
      <c r="F327" t="s">
        <v>15</v>
      </c>
      <c r="G327" s="2">
        <v>17412</v>
      </c>
      <c r="H327" s="2">
        <v>7956</v>
      </c>
      <c r="I327" s="2">
        <v>294</v>
      </c>
      <c r="J327" s="2">
        <v>74</v>
      </c>
      <c r="K327" s="2">
        <v>45</v>
      </c>
      <c r="L327" s="5">
        <f t="shared" si="17"/>
        <v>5.1910507792860737E-2</v>
      </c>
    </row>
    <row r="328" spans="1:12" x14ac:dyDescent="0.25">
      <c r="A328" t="s">
        <v>346</v>
      </c>
      <c r="B328" t="s">
        <v>14</v>
      </c>
      <c r="C328" s="10">
        <v>45733</v>
      </c>
      <c r="D328" s="18" t="str">
        <f t="shared" si="15"/>
        <v>March</v>
      </c>
      <c r="E328" s="11" t="str">
        <f t="shared" si="16"/>
        <v>2025</v>
      </c>
      <c r="F328" t="s">
        <v>32</v>
      </c>
      <c r="G328" s="2">
        <v>25766</v>
      </c>
      <c r="H328" s="2">
        <v>17472</v>
      </c>
      <c r="I328" s="2">
        <v>398</v>
      </c>
      <c r="J328" s="2">
        <v>35</v>
      </c>
      <c r="K328" s="2">
        <v>33</v>
      </c>
      <c r="L328" s="5">
        <f t="shared" si="17"/>
        <v>2.667124542124542E-2</v>
      </c>
    </row>
    <row r="329" spans="1:12" x14ac:dyDescent="0.25">
      <c r="A329" t="s">
        <v>347</v>
      </c>
      <c r="B329" t="s">
        <v>26</v>
      </c>
      <c r="C329" s="10">
        <v>45752</v>
      </c>
      <c r="D329" s="18" t="str">
        <f t="shared" si="15"/>
        <v>April</v>
      </c>
      <c r="E329" s="11" t="str">
        <f t="shared" si="16"/>
        <v>2025</v>
      </c>
      <c r="F329" t="s">
        <v>32</v>
      </c>
      <c r="G329" s="2">
        <v>21648</v>
      </c>
      <c r="H329" s="2">
        <v>14255</v>
      </c>
      <c r="I329" s="2">
        <v>236</v>
      </c>
      <c r="J329" s="2">
        <v>212</v>
      </c>
      <c r="K329" s="2">
        <v>114</v>
      </c>
      <c r="L329" s="5">
        <f t="shared" si="17"/>
        <v>3.942476324096808E-2</v>
      </c>
    </row>
    <row r="330" spans="1:12" x14ac:dyDescent="0.25">
      <c r="A330" t="s">
        <v>348</v>
      </c>
      <c r="B330" t="s">
        <v>11</v>
      </c>
      <c r="C330" s="10">
        <v>45938</v>
      </c>
      <c r="D330" s="18" t="str">
        <f t="shared" si="15"/>
        <v>October</v>
      </c>
      <c r="E330" s="11" t="str">
        <f t="shared" si="16"/>
        <v>2025</v>
      </c>
      <c r="F330" t="s">
        <v>32</v>
      </c>
      <c r="G330" s="2">
        <v>19688</v>
      </c>
      <c r="H330" s="2">
        <v>9234</v>
      </c>
      <c r="I330" s="2">
        <v>144</v>
      </c>
      <c r="J330" s="2">
        <v>38</v>
      </c>
      <c r="K330" s="2">
        <v>143</v>
      </c>
      <c r="L330" s="5">
        <f t="shared" si="17"/>
        <v>3.5196014728178474E-2</v>
      </c>
    </row>
    <row r="331" spans="1:12" x14ac:dyDescent="0.25">
      <c r="A331" t="s">
        <v>349</v>
      </c>
      <c r="B331" t="s">
        <v>11</v>
      </c>
      <c r="C331" s="10">
        <v>45982</v>
      </c>
      <c r="D331" s="18" t="str">
        <f t="shared" si="15"/>
        <v>November</v>
      </c>
      <c r="E331" s="11" t="str">
        <f t="shared" si="16"/>
        <v>2025</v>
      </c>
      <c r="F331" t="s">
        <v>12</v>
      </c>
      <c r="G331" s="2">
        <v>8513</v>
      </c>
      <c r="H331" s="2">
        <v>5731</v>
      </c>
      <c r="I331" s="2">
        <v>225</v>
      </c>
      <c r="J331" s="2">
        <v>19</v>
      </c>
      <c r="K331" s="2">
        <v>32</v>
      </c>
      <c r="L331" s="5">
        <f t="shared" si="17"/>
        <v>4.8159134531495375E-2</v>
      </c>
    </row>
    <row r="332" spans="1:12" x14ac:dyDescent="0.25">
      <c r="A332" t="s">
        <v>350</v>
      </c>
      <c r="B332" t="s">
        <v>20</v>
      </c>
      <c r="C332" s="10">
        <v>45591</v>
      </c>
      <c r="D332" s="18" t="str">
        <f t="shared" si="15"/>
        <v>October</v>
      </c>
      <c r="E332" s="11" t="str">
        <f t="shared" si="16"/>
        <v>2024</v>
      </c>
      <c r="F332" t="s">
        <v>24</v>
      </c>
      <c r="G332" s="2">
        <v>316751</v>
      </c>
      <c r="H332" s="2">
        <v>111513</v>
      </c>
      <c r="I332" s="2">
        <v>8271</v>
      </c>
      <c r="J332" s="2">
        <v>2148</v>
      </c>
      <c r="K332" s="2">
        <v>5564</v>
      </c>
      <c r="L332" s="5">
        <f t="shared" si="17"/>
        <v>0.1433285805242438</v>
      </c>
    </row>
    <row r="333" spans="1:12" x14ac:dyDescent="0.25">
      <c r="A333" t="s">
        <v>351</v>
      </c>
      <c r="B333" t="s">
        <v>26</v>
      </c>
      <c r="C333" s="10">
        <v>45602</v>
      </c>
      <c r="D333" s="18" t="str">
        <f t="shared" si="15"/>
        <v>November</v>
      </c>
      <c r="E333" s="11" t="str">
        <f t="shared" si="16"/>
        <v>2024</v>
      </c>
      <c r="F333" t="s">
        <v>12</v>
      </c>
      <c r="G333" s="2">
        <v>10552</v>
      </c>
      <c r="H333" s="2">
        <v>7876</v>
      </c>
      <c r="I333" s="2">
        <v>129</v>
      </c>
      <c r="J333" s="2">
        <v>174</v>
      </c>
      <c r="K333" s="2">
        <v>50</v>
      </c>
      <c r="L333" s="5">
        <f t="shared" si="17"/>
        <v>4.4819705434230576E-2</v>
      </c>
    </row>
    <row r="334" spans="1:12" x14ac:dyDescent="0.25">
      <c r="A334" t="s">
        <v>352</v>
      </c>
      <c r="B334" t="s">
        <v>26</v>
      </c>
      <c r="C334" s="10">
        <v>45973</v>
      </c>
      <c r="D334" s="18" t="str">
        <f t="shared" si="15"/>
        <v>November</v>
      </c>
      <c r="E334" s="11" t="str">
        <f t="shared" si="16"/>
        <v>2025</v>
      </c>
      <c r="F334" t="s">
        <v>32</v>
      </c>
      <c r="G334" s="2">
        <v>19145</v>
      </c>
      <c r="H334" s="2">
        <v>14594</v>
      </c>
      <c r="I334" s="2">
        <v>481</v>
      </c>
      <c r="J334" s="2">
        <v>185</v>
      </c>
      <c r="K334" s="2">
        <v>191</v>
      </c>
      <c r="L334" s="5">
        <f t="shared" si="17"/>
        <v>5.8722762779224336E-2</v>
      </c>
    </row>
    <row r="335" spans="1:12" x14ac:dyDescent="0.25">
      <c r="A335" t="s">
        <v>353</v>
      </c>
      <c r="B335" t="s">
        <v>11</v>
      </c>
      <c r="C335" s="10">
        <v>45399</v>
      </c>
      <c r="D335" s="18" t="str">
        <f t="shared" si="15"/>
        <v>April</v>
      </c>
      <c r="E335" s="11" t="str">
        <f t="shared" si="16"/>
        <v>2024</v>
      </c>
      <c r="F335" t="s">
        <v>32</v>
      </c>
      <c r="G335" s="2">
        <v>9138</v>
      </c>
      <c r="H335" s="2">
        <v>4166</v>
      </c>
      <c r="I335" s="2">
        <v>199</v>
      </c>
      <c r="J335" s="2">
        <v>16</v>
      </c>
      <c r="K335" s="2">
        <v>57</v>
      </c>
      <c r="L335" s="5">
        <f t="shared" si="17"/>
        <v>6.5290446471435434E-2</v>
      </c>
    </row>
    <row r="336" spans="1:12" x14ac:dyDescent="0.25">
      <c r="A336" t="s">
        <v>354</v>
      </c>
      <c r="B336" t="s">
        <v>11</v>
      </c>
      <c r="C336" s="10">
        <v>45889</v>
      </c>
      <c r="D336" s="18" t="str">
        <f t="shared" si="15"/>
        <v>August</v>
      </c>
      <c r="E336" s="11" t="str">
        <f t="shared" si="16"/>
        <v>2025</v>
      </c>
      <c r="F336" t="s">
        <v>32</v>
      </c>
      <c r="G336" s="2">
        <v>11044</v>
      </c>
      <c r="H336" s="2">
        <v>5138</v>
      </c>
      <c r="I336" s="2">
        <v>96</v>
      </c>
      <c r="J336" s="2">
        <v>25</v>
      </c>
      <c r="K336" s="2">
        <v>126</v>
      </c>
      <c r="L336" s="5">
        <f t="shared" si="17"/>
        <v>4.8073180225768779E-2</v>
      </c>
    </row>
    <row r="337" spans="1:12" x14ac:dyDescent="0.25">
      <c r="A337" t="s">
        <v>355</v>
      </c>
      <c r="B337" t="s">
        <v>17</v>
      </c>
      <c r="C337" s="10">
        <v>45909</v>
      </c>
      <c r="D337" s="18" t="str">
        <f t="shared" si="15"/>
        <v>September</v>
      </c>
      <c r="E337" s="11" t="str">
        <f t="shared" si="16"/>
        <v>2025</v>
      </c>
      <c r="F337" t="s">
        <v>12</v>
      </c>
      <c r="G337" s="2">
        <v>12620</v>
      </c>
      <c r="H337" s="2">
        <v>6694</v>
      </c>
      <c r="I337" s="2">
        <v>170</v>
      </c>
      <c r="J337" s="2">
        <v>35</v>
      </c>
      <c r="K337" s="2">
        <v>66</v>
      </c>
      <c r="L337" s="5">
        <f t="shared" si="17"/>
        <v>4.0484015536301168E-2</v>
      </c>
    </row>
    <row r="338" spans="1:12" x14ac:dyDescent="0.25">
      <c r="A338" t="s">
        <v>356</v>
      </c>
      <c r="B338" t="s">
        <v>20</v>
      </c>
      <c r="C338" s="10">
        <v>45948</v>
      </c>
      <c r="D338" s="18" t="str">
        <f t="shared" si="15"/>
        <v>October</v>
      </c>
      <c r="E338" s="11" t="str">
        <f t="shared" si="16"/>
        <v>2025</v>
      </c>
      <c r="F338" t="s">
        <v>18</v>
      </c>
      <c r="G338" s="2">
        <v>247191</v>
      </c>
      <c r="H338" s="2">
        <v>128198</v>
      </c>
      <c r="I338" s="2">
        <v>5433</v>
      </c>
      <c r="J338" s="2">
        <v>2339</v>
      </c>
      <c r="K338" s="2">
        <v>2598</v>
      </c>
      <c r="L338" s="5">
        <f t="shared" si="17"/>
        <v>8.0890497511661649E-2</v>
      </c>
    </row>
    <row r="339" spans="1:12" x14ac:dyDescent="0.25">
      <c r="A339" t="s">
        <v>357</v>
      </c>
      <c r="B339" t="s">
        <v>26</v>
      </c>
      <c r="C339" s="10">
        <v>45952</v>
      </c>
      <c r="D339" s="18" t="str">
        <f t="shared" si="15"/>
        <v>October</v>
      </c>
      <c r="E339" s="11" t="str">
        <f t="shared" si="16"/>
        <v>2025</v>
      </c>
      <c r="F339" t="s">
        <v>32</v>
      </c>
      <c r="G339" s="2">
        <v>31709</v>
      </c>
      <c r="H339" s="2">
        <v>25229</v>
      </c>
      <c r="I339" s="2">
        <v>1330</v>
      </c>
      <c r="J339" s="2">
        <v>383</v>
      </c>
      <c r="K339" s="2">
        <v>261</v>
      </c>
      <c r="L339" s="5">
        <f t="shared" si="17"/>
        <v>7.8243291450315111E-2</v>
      </c>
    </row>
    <row r="340" spans="1:12" x14ac:dyDescent="0.25">
      <c r="A340" t="s">
        <v>358</v>
      </c>
      <c r="B340" t="s">
        <v>11</v>
      </c>
      <c r="C340" s="10">
        <v>45452</v>
      </c>
      <c r="D340" s="18" t="str">
        <f t="shared" si="15"/>
        <v>June</v>
      </c>
      <c r="E340" s="11" t="str">
        <f t="shared" si="16"/>
        <v>2024</v>
      </c>
      <c r="F340" t="s">
        <v>12</v>
      </c>
      <c r="G340" s="2">
        <v>29217</v>
      </c>
      <c r="H340" s="2">
        <v>17521</v>
      </c>
      <c r="I340" s="2">
        <v>533</v>
      </c>
      <c r="J340" s="2">
        <v>125</v>
      </c>
      <c r="K340" s="2">
        <v>231</v>
      </c>
      <c r="L340" s="5">
        <f t="shared" si="17"/>
        <v>5.0739113064322813E-2</v>
      </c>
    </row>
    <row r="341" spans="1:12" x14ac:dyDescent="0.25">
      <c r="A341" t="s">
        <v>359</v>
      </c>
      <c r="B341" t="s">
        <v>14</v>
      </c>
      <c r="C341" s="10">
        <v>45744</v>
      </c>
      <c r="D341" s="18" t="str">
        <f t="shared" si="15"/>
        <v>March</v>
      </c>
      <c r="E341" s="11" t="str">
        <f t="shared" si="16"/>
        <v>2025</v>
      </c>
      <c r="F341" t="s">
        <v>15</v>
      </c>
      <c r="G341" s="2">
        <v>8066</v>
      </c>
      <c r="H341" s="2">
        <v>4863</v>
      </c>
      <c r="I341" s="2">
        <v>215</v>
      </c>
      <c r="J341" s="2">
        <v>20</v>
      </c>
      <c r="K341" s="2">
        <v>17</v>
      </c>
      <c r="L341" s="5">
        <f t="shared" si="17"/>
        <v>5.1819864281307831E-2</v>
      </c>
    </row>
    <row r="342" spans="1:12" x14ac:dyDescent="0.25">
      <c r="A342" t="s">
        <v>360</v>
      </c>
      <c r="B342" t="s">
        <v>20</v>
      </c>
      <c r="C342" s="10">
        <v>46002</v>
      </c>
      <c r="D342" s="18" t="str">
        <f t="shared" si="15"/>
        <v>December</v>
      </c>
      <c r="E342" s="11" t="str">
        <f t="shared" si="16"/>
        <v>2025</v>
      </c>
      <c r="F342" t="s">
        <v>18</v>
      </c>
      <c r="G342" s="2">
        <v>264047</v>
      </c>
      <c r="H342" s="2">
        <v>81476</v>
      </c>
      <c r="I342" s="2">
        <v>3479</v>
      </c>
      <c r="J342" s="2">
        <v>618</v>
      </c>
      <c r="K342" s="2">
        <v>2604</v>
      </c>
      <c r="L342" s="5">
        <f t="shared" si="17"/>
        <v>8.224507830526781E-2</v>
      </c>
    </row>
    <row r="343" spans="1:12" x14ac:dyDescent="0.25">
      <c r="A343" t="s">
        <v>361</v>
      </c>
      <c r="B343" t="s">
        <v>26</v>
      </c>
      <c r="C343" s="10">
        <v>45610</v>
      </c>
      <c r="D343" s="18" t="str">
        <f t="shared" si="15"/>
        <v>November</v>
      </c>
      <c r="E343" s="11" t="str">
        <f t="shared" si="16"/>
        <v>2024</v>
      </c>
      <c r="F343" t="s">
        <v>15</v>
      </c>
      <c r="G343" s="2">
        <v>13164</v>
      </c>
      <c r="H343" s="2">
        <v>10464</v>
      </c>
      <c r="I343" s="2">
        <v>408</v>
      </c>
      <c r="J343" s="2">
        <v>208</v>
      </c>
      <c r="K343" s="2">
        <v>78</v>
      </c>
      <c r="L343" s="5">
        <f t="shared" si="17"/>
        <v>6.6322629969418956E-2</v>
      </c>
    </row>
    <row r="344" spans="1:12" x14ac:dyDescent="0.25">
      <c r="A344" t="s">
        <v>362</v>
      </c>
      <c r="B344" t="s">
        <v>20</v>
      </c>
      <c r="C344" s="10">
        <v>45784</v>
      </c>
      <c r="D344" s="18" t="str">
        <f t="shared" si="15"/>
        <v>May</v>
      </c>
      <c r="E344" s="11" t="str">
        <f t="shared" si="16"/>
        <v>2025</v>
      </c>
      <c r="F344" t="s">
        <v>24</v>
      </c>
      <c r="G344" s="2">
        <v>56416</v>
      </c>
      <c r="H344" s="2">
        <v>35535</v>
      </c>
      <c r="I344" s="2">
        <v>3399</v>
      </c>
      <c r="J344" s="2">
        <v>1056</v>
      </c>
      <c r="K344" s="2">
        <v>1427</v>
      </c>
      <c r="L344" s="5">
        <f t="shared" si="17"/>
        <v>0.16552694526523146</v>
      </c>
    </row>
    <row r="345" spans="1:12" x14ac:dyDescent="0.25">
      <c r="A345" t="s">
        <v>363</v>
      </c>
      <c r="B345" t="s">
        <v>11</v>
      </c>
      <c r="C345" s="10">
        <v>45390</v>
      </c>
      <c r="D345" s="18" t="str">
        <f t="shared" si="15"/>
        <v>April</v>
      </c>
      <c r="E345" s="11" t="str">
        <f t="shared" si="16"/>
        <v>2024</v>
      </c>
      <c r="F345" t="s">
        <v>15</v>
      </c>
      <c r="G345" s="2">
        <v>28841</v>
      </c>
      <c r="H345" s="2">
        <v>15199</v>
      </c>
      <c r="I345" s="2">
        <v>437</v>
      </c>
      <c r="J345" s="2">
        <v>62</v>
      </c>
      <c r="K345" s="2">
        <v>345</v>
      </c>
      <c r="L345" s="5">
        <f t="shared" si="17"/>
        <v>5.5529969076912954E-2</v>
      </c>
    </row>
    <row r="346" spans="1:12" x14ac:dyDescent="0.25">
      <c r="A346" t="s">
        <v>364</v>
      </c>
      <c r="B346" t="s">
        <v>20</v>
      </c>
      <c r="C346" s="10">
        <v>45703</v>
      </c>
      <c r="D346" s="18" t="str">
        <f t="shared" si="15"/>
        <v>February</v>
      </c>
      <c r="E346" s="11" t="str">
        <f t="shared" si="16"/>
        <v>2025</v>
      </c>
      <c r="F346" t="s">
        <v>24</v>
      </c>
      <c r="G346" s="2">
        <v>214985</v>
      </c>
      <c r="H346" s="2">
        <v>119268</v>
      </c>
      <c r="I346" s="2">
        <v>6728</v>
      </c>
      <c r="J346" s="2">
        <v>1472</v>
      </c>
      <c r="K346" s="2">
        <v>5666</v>
      </c>
      <c r="L346" s="5">
        <f t="shared" si="17"/>
        <v>0.11625918100412516</v>
      </c>
    </row>
    <row r="347" spans="1:12" x14ac:dyDescent="0.25">
      <c r="A347" t="s">
        <v>365</v>
      </c>
      <c r="B347" t="s">
        <v>11</v>
      </c>
      <c r="C347" s="10">
        <v>45410</v>
      </c>
      <c r="D347" s="18" t="str">
        <f t="shared" si="15"/>
        <v>April</v>
      </c>
      <c r="E347" s="11" t="str">
        <f t="shared" si="16"/>
        <v>2024</v>
      </c>
      <c r="F347" t="s">
        <v>32</v>
      </c>
      <c r="G347" s="2">
        <v>31504</v>
      </c>
      <c r="H347" s="2">
        <v>10696</v>
      </c>
      <c r="I347" s="2">
        <v>231</v>
      </c>
      <c r="J347" s="2">
        <v>128</v>
      </c>
      <c r="K347" s="2">
        <v>219</v>
      </c>
      <c r="L347" s="5">
        <f t="shared" si="17"/>
        <v>5.403889304412865E-2</v>
      </c>
    </row>
    <row r="348" spans="1:12" x14ac:dyDescent="0.25">
      <c r="A348" t="s">
        <v>366</v>
      </c>
      <c r="B348" t="s">
        <v>20</v>
      </c>
      <c r="C348" s="10">
        <v>45469</v>
      </c>
      <c r="D348" s="18" t="str">
        <f t="shared" si="15"/>
        <v>June</v>
      </c>
      <c r="E348" s="11" t="str">
        <f t="shared" si="16"/>
        <v>2024</v>
      </c>
      <c r="F348" t="s">
        <v>24</v>
      </c>
      <c r="G348" s="2">
        <v>102103</v>
      </c>
      <c r="H348" s="2">
        <v>54662</v>
      </c>
      <c r="I348" s="2">
        <v>2050</v>
      </c>
      <c r="J348" s="2">
        <v>308</v>
      </c>
      <c r="K348" s="2">
        <v>1227</v>
      </c>
      <c r="L348" s="5">
        <f t="shared" si="17"/>
        <v>6.558486700084154E-2</v>
      </c>
    </row>
    <row r="349" spans="1:12" x14ac:dyDescent="0.25">
      <c r="A349" t="s">
        <v>367</v>
      </c>
      <c r="B349" t="s">
        <v>17</v>
      </c>
      <c r="C349" s="10">
        <v>45942</v>
      </c>
      <c r="D349" s="18" t="str">
        <f t="shared" si="15"/>
        <v>October</v>
      </c>
      <c r="E349" s="11" t="str">
        <f t="shared" si="16"/>
        <v>2025</v>
      </c>
      <c r="F349" t="s">
        <v>12</v>
      </c>
      <c r="G349" s="2">
        <v>19717</v>
      </c>
      <c r="H349" s="2">
        <v>14350</v>
      </c>
      <c r="I349" s="2">
        <v>404</v>
      </c>
      <c r="J349" s="2">
        <v>78</v>
      </c>
      <c r="K349" s="2">
        <v>69</v>
      </c>
      <c r="L349" s="5">
        <f t="shared" si="17"/>
        <v>3.8397212543554007E-2</v>
      </c>
    </row>
    <row r="350" spans="1:12" x14ac:dyDescent="0.25">
      <c r="A350" t="s">
        <v>368</v>
      </c>
      <c r="B350" t="s">
        <v>14</v>
      </c>
      <c r="C350" s="10">
        <v>45545</v>
      </c>
      <c r="D350" s="18" t="str">
        <f t="shared" si="15"/>
        <v>September</v>
      </c>
      <c r="E350" s="11" t="str">
        <f t="shared" si="16"/>
        <v>2024</v>
      </c>
      <c r="F350" t="s">
        <v>32</v>
      </c>
      <c r="G350" s="2">
        <v>7459</v>
      </c>
      <c r="H350" s="2">
        <v>4885</v>
      </c>
      <c r="I350" s="2">
        <v>118</v>
      </c>
      <c r="J350" s="2">
        <v>27</v>
      </c>
      <c r="K350" s="2">
        <v>33</v>
      </c>
      <c r="L350" s="5">
        <f t="shared" si="17"/>
        <v>3.6438075742067554E-2</v>
      </c>
    </row>
    <row r="351" spans="1:12" x14ac:dyDescent="0.25">
      <c r="A351" t="s">
        <v>369</v>
      </c>
      <c r="B351" t="s">
        <v>17</v>
      </c>
      <c r="C351" s="10">
        <v>45722</v>
      </c>
      <c r="D351" s="18" t="str">
        <f t="shared" si="15"/>
        <v>March</v>
      </c>
      <c r="E351" s="11" t="str">
        <f t="shared" si="16"/>
        <v>2025</v>
      </c>
      <c r="F351" t="s">
        <v>15</v>
      </c>
      <c r="G351" s="2">
        <v>22811</v>
      </c>
      <c r="H351" s="2">
        <v>18298</v>
      </c>
      <c r="I351" s="2">
        <v>108</v>
      </c>
      <c r="J351" s="2">
        <v>101</v>
      </c>
      <c r="K351" s="2">
        <v>201</v>
      </c>
      <c r="L351" s="5">
        <f t="shared" si="17"/>
        <v>2.2406820417531972E-2</v>
      </c>
    </row>
    <row r="352" spans="1:12" x14ac:dyDescent="0.25">
      <c r="A352" t="s">
        <v>370</v>
      </c>
      <c r="B352" t="s">
        <v>14</v>
      </c>
      <c r="C352" s="10">
        <v>45661</v>
      </c>
      <c r="D352" s="18" t="str">
        <f t="shared" si="15"/>
        <v>January</v>
      </c>
      <c r="E352" s="11" t="str">
        <f t="shared" si="16"/>
        <v>2025</v>
      </c>
      <c r="F352" t="s">
        <v>32</v>
      </c>
      <c r="G352" s="2">
        <v>73989</v>
      </c>
      <c r="H352" s="2">
        <v>54712</v>
      </c>
      <c r="I352" s="2">
        <v>1906</v>
      </c>
      <c r="J352" s="2">
        <v>183</v>
      </c>
      <c r="K352" s="2">
        <v>526</v>
      </c>
      <c r="L352" s="5">
        <f t="shared" si="17"/>
        <v>4.7795730369937124E-2</v>
      </c>
    </row>
    <row r="353" spans="1:12" x14ac:dyDescent="0.25">
      <c r="A353" t="s">
        <v>371</v>
      </c>
      <c r="B353" t="s">
        <v>26</v>
      </c>
      <c r="C353" s="10">
        <v>45711</v>
      </c>
      <c r="D353" s="18" t="str">
        <f t="shared" si="15"/>
        <v>February</v>
      </c>
      <c r="E353" s="11" t="str">
        <f t="shared" si="16"/>
        <v>2025</v>
      </c>
      <c r="F353" t="s">
        <v>18</v>
      </c>
      <c r="G353" s="2">
        <v>2343</v>
      </c>
      <c r="H353" s="2">
        <v>1773</v>
      </c>
      <c r="I353" s="2">
        <v>62</v>
      </c>
      <c r="J353" s="2">
        <v>23</v>
      </c>
      <c r="K353" s="2">
        <v>8</v>
      </c>
      <c r="L353" s="5">
        <f t="shared" si="17"/>
        <v>5.2453468697123522E-2</v>
      </c>
    </row>
    <row r="354" spans="1:12" x14ac:dyDescent="0.25">
      <c r="A354" t="s">
        <v>372</v>
      </c>
      <c r="B354" t="s">
        <v>14</v>
      </c>
      <c r="C354" s="10">
        <v>45814</v>
      </c>
      <c r="D354" s="18" t="str">
        <f t="shared" si="15"/>
        <v>June</v>
      </c>
      <c r="E354" s="11" t="str">
        <f t="shared" si="16"/>
        <v>2025</v>
      </c>
      <c r="F354" t="s">
        <v>32</v>
      </c>
      <c r="G354" s="2">
        <v>66048</v>
      </c>
      <c r="H354" s="2">
        <v>36305</v>
      </c>
      <c r="I354" s="2">
        <v>1924</v>
      </c>
      <c r="J354" s="2">
        <v>108</v>
      </c>
      <c r="K354" s="2">
        <v>339</v>
      </c>
      <c r="L354" s="5">
        <f t="shared" si="17"/>
        <v>6.5307808841757339E-2</v>
      </c>
    </row>
    <row r="355" spans="1:12" x14ac:dyDescent="0.25">
      <c r="A355" t="s">
        <v>373</v>
      </c>
      <c r="B355" t="s">
        <v>14</v>
      </c>
      <c r="C355" s="10">
        <v>45419</v>
      </c>
      <c r="D355" s="18" t="str">
        <f t="shared" si="15"/>
        <v>May</v>
      </c>
      <c r="E355" s="11" t="str">
        <f t="shared" si="16"/>
        <v>2024</v>
      </c>
      <c r="F355" t="s">
        <v>32</v>
      </c>
      <c r="G355" s="2">
        <v>27305</v>
      </c>
      <c r="H355" s="2">
        <v>17772</v>
      </c>
      <c r="I355" s="2">
        <v>659</v>
      </c>
      <c r="J355" s="2">
        <v>261</v>
      </c>
      <c r="K355" s="2">
        <v>143</v>
      </c>
      <c r="L355" s="5">
        <f t="shared" si="17"/>
        <v>5.9813189286518118E-2</v>
      </c>
    </row>
    <row r="356" spans="1:12" x14ac:dyDescent="0.25">
      <c r="A356" t="s">
        <v>374</v>
      </c>
      <c r="B356" t="s">
        <v>20</v>
      </c>
      <c r="C356" s="10">
        <v>45578</v>
      </c>
      <c r="D356" s="18" t="str">
        <f t="shared" si="15"/>
        <v>October</v>
      </c>
      <c r="E356" s="11" t="str">
        <f t="shared" si="16"/>
        <v>2024</v>
      </c>
      <c r="F356" t="s">
        <v>18</v>
      </c>
      <c r="G356" s="2">
        <v>361953</v>
      </c>
      <c r="H356" s="2">
        <v>125768</v>
      </c>
      <c r="I356" s="2">
        <v>4600</v>
      </c>
      <c r="J356" s="2">
        <v>3755</v>
      </c>
      <c r="K356" s="2">
        <v>4516</v>
      </c>
      <c r="L356" s="5">
        <f t="shared" si="17"/>
        <v>0.10233922778449209</v>
      </c>
    </row>
    <row r="357" spans="1:12" x14ac:dyDescent="0.25">
      <c r="A357" t="s">
        <v>375</v>
      </c>
      <c r="B357" t="s">
        <v>20</v>
      </c>
      <c r="C357" s="10">
        <v>45920</v>
      </c>
      <c r="D357" s="18" t="str">
        <f t="shared" si="15"/>
        <v>September</v>
      </c>
      <c r="E357" s="11" t="str">
        <f t="shared" si="16"/>
        <v>2025</v>
      </c>
      <c r="F357" t="s">
        <v>18</v>
      </c>
      <c r="G357" s="2">
        <v>263357</v>
      </c>
      <c r="H357" s="2">
        <v>95152</v>
      </c>
      <c r="I357" s="2">
        <v>2884</v>
      </c>
      <c r="J357" s="2">
        <v>2099</v>
      </c>
      <c r="K357" s="2">
        <v>2917</v>
      </c>
      <c r="L357" s="5">
        <f t="shared" si="17"/>
        <v>8.302505464940306E-2</v>
      </c>
    </row>
    <row r="358" spans="1:12" x14ac:dyDescent="0.25">
      <c r="A358" t="s">
        <v>376</v>
      </c>
      <c r="B358" t="s">
        <v>14</v>
      </c>
      <c r="C358" s="10">
        <v>45406</v>
      </c>
      <c r="D358" s="18" t="str">
        <f t="shared" si="15"/>
        <v>April</v>
      </c>
      <c r="E358" s="11" t="str">
        <f t="shared" si="16"/>
        <v>2024</v>
      </c>
      <c r="F358" t="s">
        <v>15</v>
      </c>
      <c r="G358" s="2">
        <v>23966</v>
      </c>
      <c r="H358" s="2">
        <v>17467</v>
      </c>
      <c r="I358" s="2">
        <v>901</v>
      </c>
      <c r="J358" s="2">
        <v>248</v>
      </c>
      <c r="K358" s="2">
        <v>73</v>
      </c>
      <c r="L358" s="5">
        <f t="shared" si="17"/>
        <v>6.9960496937081354E-2</v>
      </c>
    </row>
    <row r="359" spans="1:12" x14ac:dyDescent="0.25">
      <c r="A359" t="s">
        <v>377</v>
      </c>
      <c r="B359" t="s">
        <v>14</v>
      </c>
      <c r="C359" s="10">
        <v>45364</v>
      </c>
      <c r="D359" s="18" t="str">
        <f t="shared" si="15"/>
        <v>March</v>
      </c>
      <c r="E359" s="11" t="str">
        <f t="shared" si="16"/>
        <v>2024</v>
      </c>
      <c r="F359" t="s">
        <v>32</v>
      </c>
      <c r="G359" s="2">
        <v>52418</v>
      </c>
      <c r="H359" s="2">
        <v>25581</v>
      </c>
      <c r="I359" s="2">
        <v>572</v>
      </c>
      <c r="J359" s="2">
        <v>122</v>
      </c>
      <c r="K359" s="2">
        <v>122</v>
      </c>
      <c r="L359" s="5">
        <f t="shared" si="17"/>
        <v>3.1898674797701421E-2</v>
      </c>
    </row>
    <row r="360" spans="1:12" x14ac:dyDescent="0.25">
      <c r="A360" t="s">
        <v>378</v>
      </c>
      <c r="B360" t="s">
        <v>11</v>
      </c>
      <c r="C360" s="10">
        <v>45297</v>
      </c>
      <c r="D360" s="18" t="str">
        <f t="shared" si="15"/>
        <v>January</v>
      </c>
      <c r="E360" s="11" t="str">
        <f t="shared" si="16"/>
        <v>2024</v>
      </c>
      <c r="F360" t="s">
        <v>32</v>
      </c>
      <c r="G360" s="2">
        <v>31576</v>
      </c>
      <c r="H360" s="2">
        <v>10027</v>
      </c>
      <c r="I360" s="2">
        <v>190</v>
      </c>
      <c r="J360" s="2">
        <v>74</v>
      </c>
      <c r="K360" s="2">
        <v>116</v>
      </c>
      <c r="L360" s="5">
        <f t="shared" si="17"/>
        <v>3.7897676274060037E-2</v>
      </c>
    </row>
    <row r="361" spans="1:12" x14ac:dyDescent="0.25">
      <c r="A361" t="s">
        <v>379</v>
      </c>
      <c r="B361" t="s">
        <v>14</v>
      </c>
      <c r="C361" s="10">
        <v>45932</v>
      </c>
      <c r="D361" s="18" t="str">
        <f t="shared" si="15"/>
        <v>October</v>
      </c>
      <c r="E361" s="11" t="str">
        <f t="shared" si="16"/>
        <v>2025</v>
      </c>
      <c r="F361" t="s">
        <v>24</v>
      </c>
      <c r="G361" s="2">
        <v>87496</v>
      </c>
      <c r="H361" s="2">
        <v>66728</v>
      </c>
      <c r="I361" s="2">
        <v>2518</v>
      </c>
      <c r="J361" s="2">
        <v>635</v>
      </c>
      <c r="K361" s="2">
        <v>565</v>
      </c>
      <c r="L361" s="5">
        <f t="shared" si="17"/>
        <v>5.5718738760340489E-2</v>
      </c>
    </row>
    <row r="362" spans="1:12" x14ac:dyDescent="0.25">
      <c r="A362" t="s">
        <v>380</v>
      </c>
      <c r="B362" t="s">
        <v>14</v>
      </c>
      <c r="C362" s="10">
        <v>45947</v>
      </c>
      <c r="D362" s="18" t="str">
        <f t="shared" si="15"/>
        <v>October</v>
      </c>
      <c r="E362" s="11" t="str">
        <f t="shared" si="16"/>
        <v>2025</v>
      </c>
      <c r="F362" t="s">
        <v>24</v>
      </c>
      <c r="G362" s="2">
        <v>43720</v>
      </c>
      <c r="H362" s="2">
        <v>34730</v>
      </c>
      <c r="I362" s="2">
        <v>779</v>
      </c>
      <c r="J362" s="2">
        <v>414</v>
      </c>
      <c r="K362" s="2">
        <v>346</v>
      </c>
      <c r="L362" s="5">
        <f t="shared" si="17"/>
        <v>4.4313273826662829E-2</v>
      </c>
    </row>
    <row r="363" spans="1:12" x14ac:dyDescent="0.25">
      <c r="A363" t="s">
        <v>381</v>
      </c>
      <c r="B363" t="s">
        <v>26</v>
      </c>
      <c r="C363" s="10">
        <v>45649</v>
      </c>
      <c r="D363" s="18" t="str">
        <f t="shared" si="15"/>
        <v>December</v>
      </c>
      <c r="E363" s="11" t="str">
        <f t="shared" si="16"/>
        <v>2024</v>
      </c>
      <c r="F363" t="s">
        <v>15</v>
      </c>
      <c r="G363" s="2">
        <v>12715</v>
      </c>
      <c r="H363" s="2">
        <v>7180</v>
      </c>
      <c r="I363" s="2">
        <v>301</v>
      </c>
      <c r="J363" s="2">
        <v>39</v>
      </c>
      <c r="K363" s="2">
        <v>79</v>
      </c>
      <c r="L363" s="5">
        <f t="shared" si="17"/>
        <v>5.8356545961002787E-2</v>
      </c>
    </row>
    <row r="364" spans="1:12" x14ac:dyDescent="0.25">
      <c r="A364" t="s">
        <v>382</v>
      </c>
      <c r="B364" t="s">
        <v>20</v>
      </c>
      <c r="C364" s="10">
        <v>45513</v>
      </c>
      <c r="D364" s="18" t="str">
        <f t="shared" si="15"/>
        <v>August</v>
      </c>
      <c r="E364" s="11" t="str">
        <f t="shared" si="16"/>
        <v>2024</v>
      </c>
      <c r="F364" t="s">
        <v>24</v>
      </c>
      <c r="G364" s="2">
        <v>432919</v>
      </c>
      <c r="H364" s="2">
        <v>263375</v>
      </c>
      <c r="I364" s="2">
        <v>29207</v>
      </c>
      <c r="J364" s="2">
        <v>5184</v>
      </c>
      <c r="K364" s="2">
        <v>12263</v>
      </c>
      <c r="L364" s="5">
        <f t="shared" si="17"/>
        <v>0.1771390602752729</v>
      </c>
    </row>
    <row r="365" spans="1:12" x14ac:dyDescent="0.25">
      <c r="A365" t="s">
        <v>383</v>
      </c>
      <c r="B365" t="s">
        <v>11</v>
      </c>
      <c r="C365" s="10">
        <v>45986</v>
      </c>
      <c r="D365" s="18" t="str">
        <f t="shared" si="15"/>
        <v>November</v>
      </c>
      <c r="E365" s="11" t="str">
        <f t="shared" si="16"/>
        <v>2025</v>
      </c>
      <c r="F365" t="s">
        <v>15</v>
      </c>
      <c r="G365" s="2">
        <v>18210</v>
      </c>
      <c r="H365" s="2">
        <v>9939</v>
      </c>
      <c r="I365" s="2">
        <v>359</v>
      </c>
      <c r="J365" s="2">
        <v>152</v>
      </c>
      <c r="K365" s="2">
        <v>64</v>
      </c>
      <c r="L365" s="5">
        <f t="shared" si="17"/>
        <v>5.785290270650971E-2</v>
      </c>
    </row>
    <row r="366" spans="1:12" x14ac:dyDescent="0.25">
      <c r="A366" t="s">
        <v>384</v>
      </c>
      <c r="B366" t="s">
        <v>11</v>
      </c>
      <c r="C366" s="10">
        <v>45850</v>
      </c>
      <c r="D366" s="18" t="str">
        <f t="shared" si="15"/>
        <v>July</v>
      </c>
      <c r="E366" s="11" t="str">
        <f t="shared" si="16"/>
        <v>2025</v>
      </c>
      <c r="F366" t="s">
        <v>15</v>
      </c>
      <c r="G366" s="2">
        <v>2650</v>
      </c>
      <c r="H366" s="2">
        <v>1102</v>
      </c>
      <c r="I366" s="2">
        <v>40</v>
      </c>
      <c r="J366" s="2">
        <v>11</v>
      </c>
      <c r="K366" s="2">
        <v>24</v>
      </c>
      <c r="L366" s="5">
        <f t="shared" si="17"/>
        <v>6.8058076225045366E-2</v>
      </c>
    </row>
    <row r="367" spans="1:12" x14ac:dyDescent="0.25">
      <c r="A367" t="s">
        <v>385</v>
      </c>
      <c r="B367" t="s">
        <v>20</v>
      </c>
      <c r="C367" s="10">
        <v>45754</v>
      </c>
      <c r="D367" s="18" t="str">
        <f t="shared" si="15"/>
        <v>April</v>
      </c>
      <c r="E367" s="11" t="str">
        <f t="shared" si="16"/>
        <v>2025</v>
      </c>
      <c r="F367" t="s">
        <v>24</v>
      </c>
      <c r="G367" s="2">
        <v>89043</v>
      </c>
      <c r="H367" s="2">
        <v>57240</v>
      </c>
      <c r="I367" s="2">
        <v>2889</v>
      </c>
      <c r="J367" s="2">
        <v>744</v>
      </c>
      <c r="K367" s="2">
        <v>966</v>
      </c>
      <c r="L367" s="5">
        <f t="shared" si="17"/>
        <v>8.0345911949685531E-2</v>
      </c>
    </row>
    <row r="368" spans="1:12" x14ac:dyDescent="0.25">
      <c r="A368" t="s">
        <v>386</v>
      </c>
      <c r="B368" t="s">
        <v>11</v>
      </c>
      <c r="C368" s="10">
        <v>45792</v>
      </c>
      <c r="D368" s="18" t="str">
        <f t="shared" si="15"/>
        <v>May</v>
      </c>
      <c r="E368" s="11" t="str">
        <f t="shared" si="16"/>
        <v>2025</v>
      </c>
      <c r="F368" t="s">
        <v>18</v>
      </c>
      <c r="G368" s="2">
        <v>32036</v>
      </c>
      <c r="H368" s="2">
        <v>18733</v>
      </c>
      <c r="I368" s="2">
        <v>743</v>
      </c>
      <c r="J368" s="2">
        <v>277</v>
      </c>
      <c r="K368" s="2">
        <v>110</v>
      </c>
      <c r="L368" s="5">
        <f t="shared" si="17"/>
        <v>6.0321358031281698E-2</v>
      </c>
    </row>
    <row r="369" spans="1:12" x14ac:dyDescent="0.25">
      <c r="A369" t="s">
        <v>387</v>
      </c>
      <c r="B369" t="s">
        <v>20</v>
      </c>
      <c r="C369" s="10">
        <v>45770</v>
      </c>
      <c r="D369" s="18" t="str">
        <f t="shared" si="15"/>
        <v>April</v>
      </c>
      <c r="E369" s="11" t="str">
        <f t="shared" si="16"/>
        <v>2025</v>
      </c>
      <c r="F369" t="s">
        <v>24</v>
      </c>
      <c r="G369" s="2">
        <v>162673</v>
      </c>
      <c r="H369" s="2">
        <v>75395</v>
      </c>
      <c r="I369" s="2">
        <v>7190</v>
      </c>
      <c r="J369" s="2">
        <v>1831</v>
      </c>
      <c r="K369" s="2">
        <v>2015</v>
      </c>
      <c r="L369" s="5">
        <f t="shared" si="17"/>
        <v>0.14637575436036873</v>
      </c>
    </row>
    <row r="370" spans="1:12" x14ac:dyDescent="0.25">
      <c r="A370" t="s">
        <v>388</v>
      </c>
      <c r="B370" t="s">
        <v>14</v>
      </c>
      <c r="C370" s="10">
        <v>45928</v>
      </c>
      <c r="D370" s="18" t="str">
        <f t="shared" si="15"/>
        <v>September</v>
      </c>
      <c r="E370" s="11" t="str">
        <f t="shared" si="16"/>
        <v>2025</v>
      </c>
      <c r="F370" t="s">
        <v>18</v>
      </c>
      <c r="G370" s="2">
        <v>31659</v>
      </c>
      <c r="H370" s="2">
        <v>15454</v>
      </c>
      <c r="I370" s="2">
        <v>520</v>
      </c>
      <c r="J370" s="2">
        <v>103</v>
      </c>
      <c r="K370" s="2">
        <v>117</v>
      </c>
      <c r="L370" s="5">
        <f t="shared" si="17"/>
        <v>4.788404296622234E-2</v>
      </c>
    </row>
    <row r="371" spans="1:12" x14ac:dyDescent="0.25">
      <c r="A371" t="s">
        <v>389</v>
      </c>
      <c r="B371" t="s">
        <v>20</v>
      </c>
      <c r="C371" s="10">
        <v>45817</v>
      </c>
      <c r="D371" s="18" t="str">
        <f t="shared" si="15"/>
        <v>June</v>
      </c>
      <c r="E371" s="11" t="str">
        <f t="shared" si="16"/>
        <v>2025</v>
      </c>
      <c r="F371" t="s">
        <v>18</v>
      </c>
      <c r="G371" s="2">
        <v>280772</v>
      </c>
      <c r="H371" s="2">
        <v>95901</v>
      </c>
      <c r="I371" s="2">
        <v>8535</v>
      </c>
      <c r="J371" s="2">
        <v>2589</v>
      </c>
      <c r="K371" s="2">
        <v>1470</v>
      </c>
      <c r="L371" s="5">
        <f t="shared" si="17"/>
        <v>0.13132292676822974</v>
      </c>
    </row>
    <row r="372" spans="1:12" x14ac:dyDescent="0.25">
      <c r="A372" t="s">
        <v>390</v>
      </c>
      <c r="B372" t="s">
        <v>20</v>
      </c>
      <c r="C372" s="10">
        <v>45861</v>
      </c>
      <c r="D372" s="18" t="str">
        <f t="shared" si="15"/>
        <v>July</v>
      </c>
      <c r="E372" s="11" t="str">
        <f t="shared" si="16"/>
        <v>2025</v>
      </c>
      <c r="F372" t="s">
        <v>18</v>
      </c>
      <c r="G372" s="2">
        <v>28931</v>
      </c>
      <c r="H372" s="2">
        <v>14251</v>
      </c>
      <c r="I372" s="2">
        <v>1634</v>
      </c>
      <c r="J372" s="2">
        <v>204</v>
      </c>
      <c r="K372" s="2">
        <v>597</v>
      </c>
      <c r="L372" s="5">
        <f t="shared" si="17"/>
        <v>0.1708652024419339</v>
      </c>
    </row>
    <row r="373" spans="1:12" x14ac:dyDescent="0.25">
      <c r="A373" t="s">
        <v>391</v>
      </c>
      <c r="B373" t="s">
        <v>20</v>
      </c>
      <c r="C373" s="10">
        <v>45479</v>
      </c>
      <c r="D373" s="18" t="str">
        <f t="shared" si="15"/>
        <v>July</v>
      </c>
      <c r="E373" s="11" t="str">
        <f t="shared" si="16"/>
        <v>2024</v>
      </c>
      <c r="F373" t="s">
        <v>18</v>
      </c>
      <c r="G373" s="2">
        <v>48646</v>
      </c>
      <c r="H373" s="2">
        <v>15711</v>
      </c>
      <c r="I373" s="2">
        <v>1465</v>
      </c>
      <c r="J373" s="2">
        <v>141</v>
      </c>
      <c r="K373" s="2">
        <v>499</v>
      </c>
      <c r="L373" s="5">
        <f t="shared" si="17"/>
        <v>0.13398255998981606</v>
      </c>
    </row>
    <row r="374" spans="1:12" x14ac:dyDescent="0.25">
      <c r="A374" t="s">
        <v>392</v>
      </c>
      <c r="B374" t="s">
        <v>20</v>
      </c>
      <c r="C374" s="10">
        <v>45931</v>
      </c>
      <c r="D374" s="18" t="str">
        <f t="shared" si="15"/>
        <v>October</v>
      </c>
      <c r="E374" s="11" t="str">
        <f t="shared" si="16"/>
        <v>2025</v>
      </c>
      <c r="F374" t="s">
        <v>24</v>
      </c>
      <c r="G374" s="2">
        <v>185450</v>
      </c>
      <c r="H374" s="2">
        <v>104771</v>
      </c>
      <c r="I374" s="2">
        <v>11675</v>
      </c>
      <c r="J374" s="2">
        <v>1750</v>
      </c>
      <c r="K374" s="2">
        <v>5190</v>
      </c>
      <c r="L374" s="5">
        <f t="shared" si="17"/>
        <v>0.17767321109849099</v>
      </c>
    </row>
    <row r="375" spans="1:12" x14ac:dyDescent="0.25">
      <c r="A375" t="s">
        <v>393</v>
      </c>
      <c r="B375" t="s">
        <v>14</v>
      </c>
      <c r="C375" s="10">
        <v>45962</v>
      </c>
      <c r="D375" s="18" t="str">
        <f t="shared" si="15"/>
        <v>November</v>
      </c>
      <c r="E375" s="11" t="str">
        <f t="shared" si="16"/>
        <v>2025</v>
      </c>
      <c r="F375" t="s">
        <v>15</v>
      </c>
      <c r="G375" s="2">
        <v>4906</v>
      </c>
      <c r="H375" s="2">
        <v>2588</v>
      </c>
      <c r="I375" s="2">
        <v>151</v>
      </c>
      <c r="J375" s="2">
        <v>33</v>
      </c>
      <c r="K375" s="2">
        <v>17</v>
      </c>
      <c r="L375" s="5">
        <f t="shared" si="17"/>
        <v>7.7666151468315306E-2</v>
      </c>
    </row>
    <row r="376" spans="1:12" x14ac:dyDescent="0.25">
      <c r="A376" t="s">
        <v>394</v>
      </c>
      <c r="B376" t="s">
        <v>11</v>
      </c>
      <c r="C376" s="10">
        <v>45356</v>
      </c>
      <c r="D376" s="18" t="str">
        <f t="shared" si="15"/>
        <v>March</v>
      </c>
      <c r="E376" s="11" t="str">
        <f t="shared" si="16"/>
        <v>2024</v>
      </c>
      <c r="F376" t="s">
        <v>18</v>
      </c>
      <c r="G376" s="2">
        <v>85302</v>
      </c>
      <c r="H376" s="2">
        <v>32381</v>
      </c>
      <c r="I376" s="2">
        <v>1051</v>
      </c>
      <c r="J376" s="2">
        <v>160</v>
      </c>
      <c r="K376" s="2">
        <v>503</v>
      </c>
      <c r="L376" s="5">
        <f t="shared" si="17"/>
        <v>5.2932275099595444E-2</v>
      </c>
    </row>
    <row r="377" spans="1:12" x14ac:dyDescent="0.25">
      <c r="A377" t="s">
        <v>395</v>
      </c>
      <c r="B377" t="s">
        <v>11</v>
      </c>
      <c r="C377" s="10">
        <v>45743</v>
      </c>
      <c r="D377" s="18" t="str">
        <f t="shared" si="15"/>
        <v>March</v>
      </c>
      <c r="E377" s="11" t="str">
        <f t="shared" si="16"/>
        <v>2025</v>
      </c>
      <c r="F377" t="s">
        <v>18</v>
      </c>
      <c r="G377" s="2">
        <v>36362</v>
      </c>
      <c r="H377" s="2">
        <v>22850</v>
      </c>
      <c r="I377" s="2">
        <v>994</v>
      </c>
      <c r="J377" s="2">
        <v>361</v>
      </c>
      <c r="K377" s="2">
        <v>578</v>
      </c>
      <c r="L377" s="5">
        <f t="shared" si="17"/>
        <v>8.4595185995623629E-2</v>
      </c>
    </row>
    <row r="378" spans="1:12" x14ac:dyDescent="0.25">
      <c r="A378" t="s">
        <v>396</v>
      </c>
      <c r="B378" t="s">
        <v>17</v>
      </c>
      <c r="C378" s="10">
        <v>45537</v>
      </c>
      <c r="D378" s="18" t="str">
        <f t="shared" si="15"/>
        <v>September</v>
      </c>
      <c r="E378" s="11" t="str">
        <f t="shared" si="16"/>
        <v>2024</v>
      </c>
      <c r="F378" t="s">
        <v>15</v>
      </c>
      <c r="G378" s="2">
        <v>19564</v>
      </c>
      <c r="H378" s="2">
        <v>14673</v>
      </c>
      <c r="I378" s="2">
        <v>312</v>
      </c>
      <c r="J378" s="2">
        <v>19</v>
      </c>
      <c r="K378" s="2">
        <v>39</v>
      </c>
      <c r="L378" s="5">
        <f t="shared" si="17"/>
        <v>2.5216383834253391E-2</v>
      </c>
    </row>
    <row r="379" spans="1:12" x14ac:dyDescent="0.25">
      <c r="A379" t="s">
        <v>397</v>
      </c>
      <c r="B379" t="s">
        <v>20</v>
      </c>
      <c r="C379" s="10">
        <v>45681</v>
      </c>
      <c r="D379" s="18" t="str">
        <f t="shared" si="15"/>
        <v>January</v>
      </c>
      <c r="E379" s="11" t="str">
        <f t="shared" si="16"/>
        <v>2025</v>
      </c>
      <c r="F379" t="s">
        <v>24</v>
      </c>
      <c r="G379" s="2">
        <v>142015</v>
      </c>
      <c r="H379" s="2">
        <v>97331</v>
      </c>
      <c r="I379" s="2">
        <v>11113</v>
      </c>
      <c r="J379" s="2">
        <v>2751</v>
      </c>
      <c r="K379" s="2">
        <v>3416</v>
      </c>
      <c r="L379" s="5">
        <f t="shared" si="17"/>
        <v>0.17753850263533716</v>
      </c>
    </row>
    <row r="380" spans="1:12" x14ac:dyDescent="0.25">
      <c r="A380" t="s">
        <v>398</v>
      </c>
      <c r="B380" t="s">
        <v>20</v>
      </c>
      <c r="C380" s="10">
        <v>45320</v>
      </c>
      <c r="D380" s="18" t="str">
        <f t="shared" si="15"/>
        <v>January</v>
      </c>
      <c r="E380" s="11" t="str">
        <f t="shared" si="16"/>
        <v>2024</v>
      </c>
      <c r="F380" t="s">
        <v>18</v>
      </c>
      <c r="G380" s="2">
        <v>396464</v>
      </c>
      <c r="H380" s="2">
        <v>212977</v>
      </c>
      <c r="I380" s="2">
        <v>20430</v>
      </c>
      <c r="J380" s="2">
        <v>2808</v>
      </c>
      <c r="K380" s="2">
        <v>4420</v>
      </c>
      <c r="L380" s="5">
        <f t="shared" si="17"/>
        <v>0.1298637881085751</v>
      </c>
    </row>
    <row r="381" spans="1:12" x14ac:dyDescent="0.25">
      <c r="A381" t="s">
        <v>399</v>
      </c>
      <c r="B381" t="s">
        <v>14</v>
      </c>
      <c r="C381" s="10">
        <v>45320</v>
      </c>
      <c r="D381" s="18" t="str">
        <f t="shared" si="15"/>
        <v>January</v>
      </c>
      <c r="E381" s="11" t="str">
        <f t="shared" si="16"/>
        <v>2024</v>
      </c>
      <c r="F381" t="s">
        <v>18</v>
      </c>
      <c r="G381" s="2">
        <v>65239</v>
      </c>
      <c r="H381" s="2">
        <v>26279</v>
      </c>
      <c r="I381" s="2">
        <v>1270</v>
      </c>
      <c r="J381" s="2">
        <v>138</v>
      </c>
      <c r="K381" s="2">
        <v>249</v>
      </c>
      <c r="L381" s="5">
        <f t="shared" si="17"/>
        <v>6.3054149701282397E-2</v>
      </c>
    </row>
    <row r="382" spans="1:12" x14ac:dyDescent="0.25">
      <c r="A382" t="s">
        <v>400</v>
      </c>
      <c r="B382" t="s">
        <v>20</v>
      </c>
      <c r="C382" s="10">
        <v>45642</v>
      </c>
      <c r="D382" s="18" t="str">
        <f t="shared" si="15"/>
        <v>December</v>
      </c>
      <c r="E382" s="11" t="str">
        <f t="shared" si="16"/>
        <v>2024</v>
      </c>
      <c r="F382" t="s">
        <v>18</v>
      </c>
      <c r="G382" s="2">
        <v>481371</v>
      </c>
      <c r="H382" s="2">
        <v>293652</v>
      </c>
      <c r="I382" s="2">
        <v>12277</v>
      </c>
      <c r="J382" s="2">
        <v>2977</v>
      </c>
      <c r="K382" s="2">
        <v>13325</v>
      </c>
      <c r="L382" s="5">
        <f t="shared" si="17"/>
        <v>9.7322681268985051E-2</v>
      </c>
    </row>
    <row r="383" spans="1:12" x14ac:dyDescent="0.25">
      <c r="A383" t="s">
        <v>401</v>
      </c>
      <c r="B383" t="s">
        <v>26</v>
      </c>
      <c r="C383" s="10">
        <v>45684</v>
      </c>
      <c r="D383" s="18" t="str">
        <f t="shared" si="15"/>
        <v>January</v>
      </c>
      <c r="E383" s="11" t="str">
        <f t="shared" si="16"/>
        <v>2025</v>
      </c>
      <c r="F383" t="s">
        <v>18</v>
      </c>
      <c r="G383" s="2">
        <v>33792</v>
      </c>
      <c r="H383" s="2">
        <v>18124</v>
      </c>
      <c r="I383" s="2">
        <v>615</v>
      </c>
      <c r="J383" s="2">
        <v>436</v>
      </c>
      <c r="K383" s="2">
        <v>149</v>
      </c>
      <c r="L383" s="5">
        <f t="shared" si="17"/>
        <v>6.621054954756124E-2</v>
      </c>
    </row>
    <row r="384" spans="1:12" x14ac:dyDescent="0.25">
      <c r="A384" t="s">
        <v>402</v>
      </c>
      <c r="B384" t="s">
        <v>20</v>
      </c>
      <c r="C384" s="10">
        <v>45478</v>
      </c>
      <c r="D384" s="18" t="str">
        <f t="shared" si="15"/>
        <v>July</v>
      </c>
      <c r="E384" s="11" t="str">
        <f t="shared" si="16"/>
        <v>2024</v>
      </c>
      <c r="F384" t="s">
        <v>24</v>
      </c>
      <c r="G384" s="2">
        <v>273471</v>
      </c>
      <c r="H384" s="2">
        <v>103519</v>
      </c>
      <c r="I384" s="2">
        <v>3885</v>
      </c>
      <c r="J384" s="2">
        <v>2204</v>
      </c>
      <c r="K384" s="2">
        <v>4347</v>
      </c>
      <c r="L384" s="5">
        <f t="shared" si="17"/>
        <v>0.10081241124817666</v>
      </c>
    </row>
    <row r="385" spans="1:12" x14ac:dyDescent="0.25">
      <c r="A385" t="s">
        <v>403</v>
      </c>
      <c r="B385" t="s">
        <v>14</v>
      </c>
      <c r="C385" s="10">
        <v>46011</v>
      </c>
      <c r="D385" s="18" t="str">
        <f t="shared" si="15"/>
        <v>December</v>
      </c>
      <c r="E385" s="11" t="str">
        <f t="shared" si="16"/>
        <v>2025</v>
      </c>
      <c r="F385" t="s">
        <v>15</v>
      </c>
      <c r="G385" s="2">
        <v>18169</v>
      </c>
      <c r="H385" s="2">
        <v>12346</v>
      </c>
      <c r="I385" s="2">
        <v>599</v>
      </c>
      <c r="J385" s="2">
        <v>154</v>
      </c>
      <c r="K385" s="2">
        <v>120</v>
      </c>
      <c r="L385" s="5">
        <f t="shared" si="17"/>
        <v>7.0711161509800752E-2</v>
      </c>
    </row>
    <row r="386" spans="1:12" x14ac:dyDescent="0.25">
      <c r="A386" t="s">
        <v>404</v>
      </c>
      <c r="B386" t="s">
        <v>20</v>
      </c>
      <c r="C386" s="10">
        <v>45771</v>
      </c>
      <c r="D386" s="18" t="str">
        <f t="shared" si="15"/>
        <v>April</v>
      </c>
      <c r="E386" s="11" t="str">
        <f t="shared" si="16"/>
        <v>2025</v>
      </c>
      <c r="F386" t="s">
        <v>24</v>
      </c>
      <c r="G386" s="2">
        <v>219497</v>
      </c>
      <c r="H386" s="2">
        <v>107091</v>
      </c>
      <c r="I386" s="2">
        <v>4415</v>
      </c>
      <c r="J386" s="2">
        <v>1194</v>
      </c>
      <c r="K386" s="2">
        <v>1427</v>
      </c>
      <c r="L386" s="5">
        <f t="shared" si="17"/>
        <v>6.57011326815512E-2</v>
      </c>
    </row>
    <row r="387" spans="1:12" x14ac:dyDescent="0.25">
      <c r="A387" t="s">
        <v>405</v>
      </c>
      <c r="B387" t="s">
        <v>26</v>
      </c>
      <c r="C387" s="10">
        <v>45815</v>
      </c>
      <c r="D387" s="18" t="str">
        <f t="shared" ref="D387:D450" si="18">TEXT($C387,"MMMM")</f>
        <v>June</v>
      </c>
      <c r="E387" s="11" t="str">
        <f t="shared" ref="E387:E450" si="19">TEXT(C387,"yyyy")</f>
        <v>2025</v>
      </c>
      <c r="F387" t="s">
        <v>15</v>
      </c>
      <c r="G387" s="2">
        <v>9396</v>
      </c>
      <c r="H387" s="2">
        <v>6993</v>
      </c>
      <c r="I387" s="2">
        <v>331</v>
      </c>
      <c r="J387" s="2">
        <v>161</v>
      </c>
      <c r="K387" s="2">
        <v>55</v>
      </c>
      <c r="L387" s="5">
        <f t="shared" ref="L387:L450" si="20">SUM(I387:K387)/H387</f>
        <v>7.8221078221078225E-2</v>
      </c>
    </row>
    <row r="388" spans="1:12" x14ac:dyDescent="0.25">
      <c r="A388" t="s">
        <v>406</v>
      </c>
      <c r="B388" t="s">
        <v>14</v>
      </c>
      <c r="C388" s="10">
        <v>45942</v>
      </c>
      <c r="D388" s="18" t="str">
        <f t="shared" si="18"/>
        <v>October</v>
      </c>
      <c r="E388" s="11" t="str">
        <f t="shared" si="19"/>
        <v>2025</v>
      </c>
      <c r="F388" t="s">
        <v>15</v>
      </c>
      <c r="G388" s="2">
        <v>49233</v>
      </c>
      <c r="H388" s="2">
        <v>30264</v>
      </c>
      <c r="I388" s="2">
        <v>2221</v>
      </c>
      <c r="J388" s="2">
        <v>448</v>
      </c>
      <c r="K388" s="2">
        <v>279</v>
      </c>
      <c r="L388" s="5">
        <f t="shared" si="20"/>
        <v>9.7409463388844833E-2</v>
      </c>
    </row>
    <row r="389" spans="1:12" x14ac:dyDescent="0.25">
      <c r="A389" t="s">
        <v>407</v>
      </c>
      <c r="B389" t="s">
        <v>11</v>
      </c>
      <c r="C389" s="10">
        <v>45985</v>
      </c>
      <c r="D389" s="18" t="str">
        <f t="shared" si="18"/>
        <v>November</v>
      </c>
      <c r="E389" s="11" t="str">
        <f t="shared" si="19"/>
        <v>2025</v>
      </c>
      <c r="F389" t="s">
        <v>12</v>
      </c>
      <c r="G389" s="2">
        <v>12764</v>
      </c>
      <c r="H389" s="2">
        <v>6001</v>
      </c>
      <c r="I389" s="2">
        <v>157</v>
      </c>
      <c r="J389" s="2">
        <v>55</v>
      </c>
      <c r="K389" s="2">
        <v>76</v>
      </c>
      <c r="L389" s="5">
        <f t="shared" si="20"/>
        <v>4.7992001333111149E-2</v>
      </c>
    </row>
    <row r="390" spans="1:12" x14ac:dyDescent="0.25">
      <c r="A390" t="s">
        <v>408</v>
      </c>
      <c r="B390" t="s">
        <v>14</v>
      </c>
      <c r="C390" s="10">
        <v>45816</v>
      </c>
      <c r="D390" s="18" t="str">
        <f t="shared" si="18"/>
        <v>June</v>
      </c>
      <c r="E390" s="11" t="str">
        <f t="shared" si="19"/>
        <v>2025</v>
      </c>
      <c r="F390" t="s">
        <v>32</v>
      </c>
      <c r="G390" s="2">
        <v>64438</v>
      </c>
      <c r="H390" s="2">
        <v>48960</v>
      </c>
      <c r="I390" s="2">
        <v>2962</v>
      </c>
      <c r="J390" s="2">
        <v>531</v>
      </c>
      <c r="K390" s="2">
        <v>213</v>
      </c>
      <c r="L390" s="5">
        <f t="shared" si="20"/>
        <v>7.5694444444444439E-2</v>
      </c>
    </row>
    <row r="391" spans="1:12" x14ac:dyDescent="0.25">
      <c r="A391" t="s">
        <v>409</v>
      </c>
      <c r="B391" t="s">
        <v>17</v>
      </c>
      <c r="C391" s="10">
        <v>45704</v>
      </c>
      <c r="D391" s="18" t="str">
        <f t="shared" si="18"/>
        <v>February</v>
      </c>
      <c r="E391" s="11" t="str">
        <f t="shared" si="19"/>
        <v>2025</v>
      </c>
      <c r="F391" t="s">
        <v>18</v>
      </c>
      <c r="G391" s="2">
        <v>18371</v>
      </c>
      <c r="H391" s="2">
        <v>16355</v>
      </c>
      <c r="I391" s="2">
        <v>376</v>
      </c>
      <c r="J391" s="2">
        <v>28</v>
      </c>
      <c r="K391" s="2">
        <v>65</v>
      </c>
      <c r="L391" s="5">
        <f t="shared" si="20"/>
        <v>2.8676245796392542E-2</v>
      </c>
    </row>
    <row r="392" spans="1:12" x14ac:dyDescent="0.25">
      <c r="A392" t="s">
        <v>410</v>
      </c>
      <c r="B392" t="s">
        <v>14</v>
      </c>
      <c r="C392" s="10">
        <v>45990</v>
      </c>
      <c r="D392" s="18" t="str">
        <f t="shared" si="18"/>
        <v>November</v>
      </c>
      <c r="E392" s="11" t="str">
        <f t="shared" si="19"/>
        <v>2025</v>
      </c>
      <c r="F392" t="s">
        <v>24</v>
      </c>
      <c r="G392" s="2">
        <v>32912</v>
      </c>
      <c r="H392" s="2">
        <v>20778</v>
      </c>
      <c r="I392" s="2">
        <v>1433</v>
      </c>
      <c r="J392" s="2">
        <v>190</v>
      </c>
      <c r="K392" s="2">
        <v>55</v>
      </c>
      <c r="L392" s="5">
        <f t="shared" si="20"/>
        <v>8.0758494561555497E-2</v>
      </c>
    </row>
    <row r="393" spans="1:12" x14ac:dyDescent="0.25">
      <c r="A393" t="s">
        <v>411</v>
      </c>
      <c r="B393" t="s">
        <v>11</v>
      </c>
      <c r="C393" s="10">
        <v>45530</v>
      </c>
      <c r="D393" s="18" t="str">
        <f t="shared" si="18"/>
        <v>August</v>
      </c>
      <c r="E393" s="11" t="str">
        <f t="shared" si="19"/>
        <v>2024</v>
      </c>
      <c r="F393" t="s">
        <v>15</v>
      </c>
      <c r="G393" s="2">
        <v>3002</v>
      </c>
      <c r="H393" s="2">
        <v>1192</v>
      </c>
      <c r="I393" s="2">
        <v>20</v>
      </c>
      <c r="J393" s="2">
        <v>22</v>
      </c>
      <c r="K393" s="2">
        <v>31</v>
      </c>
      <c r="L393" s="5">
        <f t="shared" si="20"/>
        <v>6.1241610738255035E-2</v>
      </c>
    </row>
    <row r="394" spans="1:12" x14ac:dyDescent="0.25">
      <c r="A394" t="s">
        <v>412</v>
      </c>
      <c r="B394" t="s">
        <v>14</v>
      </c>
      <c r="C394" s="10">
        <v>45473</v>
      </c>
      <c r="D394" s="18" t="str">
        <f t="shared" si="18"/>
        <v>June</v>
      </c>
      <c r="E394" s="11" t="str">
        <f t="shared" si="19"/>
        <v>2024</v>
      </c>
      <c r="F394" t="s">
        <v>32</v>
      </c>
      <c r="G394" s="2">
        <v>32223</v>
      </c>
      <c r="H394" s="2">
        <v>20809</v>
      </c>
      <c r="I394" s="2">
        <v>652</v>
      </c>
      <c r="J394" s="2">
        <v>263</v>
      </c>
      <c r="K394" s="2">
        <v>160</v>
      </c>
      <c r="L394" s="5">
        <f t="shared" si="20"/>
        <v>5.166033927627469E-2</v>
      </c>
    </row>
    <row r="395" spans="1:12" x14ac:dyDescent="0.25">
      <c r="A395" t="s">
        <v>413</v>
      </c>
      <c r="B395" t="s">
        <v>14</v>
      </c>
      <c r="C395" s="10">
        <v>45825</v>
      </c>
      <c r="D395" s="18" t="str">
        <f t="shared" si="18"/>
        <v>June</v>
      </c>
      <c r="E395" s="11" t="str">
        <f t="shared" si="19"/>
        <v>2025</v>
      </c>
      <c r="F395" t="s">
        <v>32</v>
      </c>
      <c r="G395" s="2">
        <v>69821</v>
      </c>
      <c r="H395" s="2">
        <v>36732</v>
      </c>
      <c r="I395" s="2">
        <v>882</v>
      </c>
      <c r="J395" s="2">
        <v>250</v>
      </c>
      <c r="K395" s="2">
        <v>84</v>
      </c>
      <c r="L395" s="5">
        <f t="shared" si="20"/>
        <v>3.3104649896547968E-2</v>
      </c>
    </row>
    <row r="396" spans="1:12" x14ac:dyDescent="0.25">
      <c r="A396" t="s">
        <v>414</v>
      </c>
      <c r="B396" t="s">
        <v>17</v>
      </c>
      <c r="C396" s="10">
        <v>45441</v>
      </c>
      <c r="D396" s="18" t="str">
        <f t="shared" si="18"/>
        <v>May</v>
      </c>
      <c r="E396" s="11" t="str">
        <f t="shared" si="19"/>
        <v>2024</v>
      </c>
      <c r="F396" t="s">
        <v>15</v>
      </c>
      <c r="G396" s="2">
        <v>12511</v>
      </c>
      <c r="H396" s="2">
        <v>6678</v>
      </c>
      <c r="I396" s="2">
        <v>169</v>
      </c>
      <c r="J396" s="2">
        <v>42</v>
      </c>
      <c r="K396" s="2">
        <v>126</v>
      </c>
      <c r="L396" s="5">
        <f t="shared" si="20"/>
        <v>5.0464210841569331E-2</v>
      </c>
    </row>
    <row r="397" spans="1:12" x14ac:dyDescent="0.25">
      <c r="A397" t="s">
        <v>415</v>
      </c>
      <c r="B397" t="s">
        <v>26</v>
      </c>
      <c r="C397" s="10">
        <v>45302</v>
      </c>
      <c r="D397" s="18" t="str">
        <f t="shared" si="18"/>
        <v>January</v>
      </c>
      <c r="E397" s="11" t="str">
        <f t="shared" si="19"/>
        <v>2024</v>
      </c>
      <c r="F397" t="s">
        <v>15</v>
      </c>
      <c r="G397" s="2">
        <v>8567</v>
      </c>
      <c r="H397" s="2">
        <v>5327</v>
      </c>
      <c r="I397" s="2">
        <v>156</v>
      </c>
      <c r="J397" s="2">
        <v>45</v>
      </c>
      <c r="K397" s="2">
        <v>19</v>
      </c>
      <c r="L397" s="5">
        <f t="shared" si="20"/>
        <v>4.1299042613103062E-2</v>
      </c>
    </row>
    <row r="398" spans="1:12" x14ac:dyDescent="0.25">
      <c r="A398" t="s">
        <v>416</v>
      </c>
      <c r="B398" t="s">
        <v>11</v>
      </c>
      <c r="C398" s="10">
        <v>45695</v>
      </c>
      <c r="D398" s="18" t="str">
        <f t="shared" si="18"/>
        <v>February</v>
      </c>
      <c r="E398" s="11" t="str">
        <f t="shared" si="19"/>
        <v>2025</v>
      </c>
      <c r="F398" t="s">
        <v>32</v>
      </c>
      <c r="G398" s="2">
        <v>31744</v>
      </c>
      <c r="H398" s="2">
        <v>14540</v>
      </c>
      <c r="I398" s="2">
        <v>478</v>
      </c>
      <c r="J398" s="2">
        <v>203</v>
      </c>
      <c r="K398" s="2">
        <v>290</v>
      </c>
      <c r="L398" s="5">
        <f t="shared" si="20"/>
        <v>6.6781292984869331E-2</v>
      </c>
    </row>
    <row r="399" spans="1:12" x14ac:dyDescent="0.25">
      <c r="A399" t="s">
        <v>417</v>
      </c>
      <c r="B399" t="s">
        <v>26</v>
      </c>
      <c r="C399" s="10">
        <v>45702</v>
      </c>
      <c r="D399" s="18" t="str">
        <f t="shared" si="18"/>
        <v>February</v>
      </c>
      <c r="E399" s="11" t="str">
        <f t="shared" si="19"/>
        <v>2025</v>
      </c>
      <c r="F399" t="s">
        <v>15</v>
      </c>
      <c r="G399" s="2">
        <v>7127</v>
      </c>
      <c r="H399" s="2">
        <v>5162</v>
      </c>
      <c r="I399" s="2">
        <v>164</v>
      </c>
      <c r="J399" s="2">
        <v>127</v>
      </c>
      <c r="K399" s="2">
        <v>66</v>
      </c>
      <c r="L399" s="5">
        <f t="shared" si="20"/>
        <v>6.9159240604416888E-2</v>
      </c>
    </row>
    <row r="400" spans="1:12" x14ac:dyDescent="0.25">
      <c r="A400" t="s">
        <v>418</v>
      </c>
      <c r="B400" t="s">
        <v>26</v>
      </c>
      <c r="C400" s="10">
        <v>45779</v>
      </c>
      <c r="D400" s="18" t="str">
        <f t="shared" si="18"/>
        <v>May</v>
      </c>
      <c r="E400" s="11" t="str">
        <f t="shared" si="19"/>
        <v>2025</v>
      </c>
      <c r="F400" t="s">
        <v>18</v>
      </c>
      <c r="G400" s="2">
        <v>21322</v>
      </c>
      <c r="H400" s="2">
        <v>15829</v>
      </c>
      <c r="I400" s="2">
        <v>310</v>
      </c>
      <c r="J400" s="2">
        <v>374</v>
      </c>
      <c r="K400" s="2">
        <v>89</v>
      </c>
      <c r="L400" s="5">
        <f t="shared" si="20"/>
        <v>4.8834417840672183E-2</v>
      </c>
    </row>
    <row r="401" spans="1:12" x14ac:dyDescent="0.25">
      <c r="A401" t="s">
        <v>419</v>
      </c>
      <c r="B401" t="s">
        <v>17</v>
      </c>
      <c r="C401" s="10">
        <v>45361</v>
      </c>
      <c r="D401" s="18" t="str">
        <f t="shared" si="18"/>
        <v>March</v>
      </c>
      <c r="E401" s="11" t="str">
        <f t="shared" si="19"/>
        <v>2024</v>
      </c>
      <c r="F401" t="s">
        <v>18</v>
      </c>
      <c r="G401" s="2">
        <v>2785</v>
      </c>
      <c r="H401" s="2">
        <v>2312</v>
      </c>
      <c r="I401" s="2">
        <v>68</v>
      </c>
      <c r="J401" s="2">
        <v>13</v>
      </c>
      <c r="K401" s="2">
        <v>16</v>
      </c>
      <c r="L401" s="5">
        <f t="shared" si="20"/>
        <v>4.195501730103806E-2</v>
      </c>
    </row>
    <row r="402" spans="1:12" x14ac:dyDescent="0.25">
      <c r="A402" t="s">
        <v>420</v>
      </c>
      <c r="B402" t="s">
        <v>17</v>
      </c>
      <c r="C402" s="10">
        <v>45826</v>
      </c>
      <c r="D402" s="18" t="str">
        <f t="shared" si="18"/>
        <v>June</v>
      </c>
      <c r="E402" s="11" t="str">
        <f t="shared" si="19"/>
        <v>2025</v>
      </c>
      <c r="F402" t="s">
        <v>15</v>
      </c>
      <c r="G402" s="2">
        <v>6106</v>
      </c>
      <c r="H402" s="2">
        <v>3287</v>
      </c>
      <c r="I402" s="2">
        <v>57</v>
      </c>
      <c r="J402" s="2">
        <v>26</v>
      </c>
      <c r="K402" s="2">
        <v>41</v>
      </c>
      <c r="L402" s="5">
        <f t="shared" si="20"/>
        <v>3.7724368725281412E-2</v>
      </c>
    </row>
    <row r="403" spans="1:12" x14ac:dyDescent="0.25">
      <c r="A403" t="s">
        <v>421</v>
      </c>
      <c r="B403" t="s">
        <v>20</v>
      </c>
      <c r="C403" s="10">
        <v>45525</v>
      </c>
      <c r="D403" s="18" t="str">
        <f t="shared" si="18"/>
        <v>August</v>
      </c>
      <c r="E403" s="11" t="str">
        <f t="shared" si="19"/>
        <v>2024</v>
      </c>
      <c r="F403" t="s">
        <v>18</v>
      </c>
      <c r="G403" s="2">
        <v>184139</v>
      </c>
      <c r="H403" s="2">
        <v>107085</v>
      </c>
      <c r="I403" s="2">
        <v>9649</v>
      </c>
      <c r="J403" s="2">
        <v>1976</v>
      </c>
      <c r="K403" s="2">
        <v>1806</v>
      </c>
      <c r="L403" s="5">
        <f t="shared" si="20"/>
        <v>0.12542372881355932</v>
      </c>
    </row>
    <row r="404" spans="1:12" x14ac:dyDescent="0.25">
      <c r="A404" t="s">
        <v>422</v>
      </c>
      <c r="B404" t="s">
        <v>26</v>
      </c>
      <c r="C404" s="10">
        <v>45978</v>
      </c>
      <c r="D404" s="18" t="str">
        <f t="shared" si="18"/>
        <v>November</v>
      </c>
      <c r="E404" s="11" t="str">
        <f t="shared" si="19"/>
        <v>2025</v>
      </c>
      <c r="F404" t="s">
        <v>32</v>
      </c>
      <c r="G404" s="2">
        <v>26764</v>
      </c>
      <c r="H404" s="2">
        <v>10706</v>
      </c>
      <c r="I404" s="2">
        <v>440</v>
      </c>
      <c r="J404" s="2">
        <v>206</v>
      </c>
      <c r="K404" s="2">
        <v>40</v>
      </c>
      <c r="L404" s="5">
        <f t="shared" si="20"/>
        <v>6.4076218942648977E-2</v>
      </c>
    </row>
    <row r="405" spans="1:12" x14ac:dyDescent="0.25">
      <c r="A405" t="s">
        <v>423</v>
      </c>
      <c r="B405" t="s">
        <v>17</v>
      </c>
      <c r="C405" s="10">
        <v>45587</v>
      </c>
      <c r="D405" s="18" t="str">
        <f t="shared" si="18"/>
        <v>October</v>
      </c>
      <c r="E405" s="11" t="str">
        <f t="shared" si="19"/>
        <v>2024</v>
      </c>
      <c r="F405" t="s">
        <v>18</v>
      </c>
      <c r="G405" s="2">
        <v>49797</v>
      </c>
      <c r="H405" s="2">
        <v>31336</v>
      </c>
      <c r="I405" s="2">
        <v>561</v>
      </c>
      <c r="J405" s="2">
        <v>147</v>
      </c>
      <c r="K405" s="2">
        <v>573</v>
      </c>
      <c r="L405" s="5">
        <f t="shared" si="20"/>
        <v>4.0879499617053866E-2</v>
      </c>
    </row>
    <row r="406" spans="1:12" x14ac:dyDescent="0.25">
      <c r="A406" t="s">
        <v>424</v>
      </c>
      <c r="B406" t="s">
        <v>14</v>
      </c>
      <c r="C406" s="10">
        <v>45839</v>
      </c>
      <c r="D406" s="18" t="str">
        <f t="shared" si="18"/>
        <v>July</v>
      </c>
      <c r="E406" s="11" t="str">
        <f t="shared" si="19"/>
        <v>2025</v>
      </c>
      <c r="F406" t="s">
        <v>15</v>
      </c>
      <c r="G406" s="2">
        <v>35525</v>
      </c>
      <c r="H406" s="2">
        <v>25161</v>
      </c>
      <c r="I406" s="2">
        <v>893</v>
      </c>
      <c r="J406" s="2">
        <v>251</v>
      </c>
      <c r="K406" s="2">
        <v>47</v>
      </c>
      <c r="L406" s="5">
        <f t="shared" si="20"/>
        <v>4.7335161559556457E-2</v>
      </c>
    </row>
    <row r="407" spans="1:12" x14ac:dyDescent="0.25">
      <c r="A407" t="s">
        <v>425</v>
      </c>
      <c r="B407" t="s">
        <v>14</v>
      </c>
      <c r="C407" s="10">
        <v>45865</v>
      </c>
      <c r="D407" s="18" t="str">
        <f t="shared" si="18"/>
        <v>July</v>
      </c>
      <c r="E407" s="11" t="str">
        <f t="shared" si="19"/>
        <v>2025</v>
      </c>
      <c r="F407" t="s">
        <v>18</v>
      </c>
      <c r="G407" s="2">
        <v>19195</v>
      </c>
      <c r="H407" s="2">
        <v>15085</v>
      </c>
      <c r="I407" s="2">
        <v>1100</v>
      </c>
      <c r="J407" s="2">
        <v>42</v>
      </c>
      <c r="K407" s="2">
        <v>87</v>
      </c>
      <c r="L407" s="5">
        <f t="shared" si="20"/>
        <v>8.1471660589990058E-2</v>
      </c>
    </row>
    <row r="408" spans="1:12" x14ac:dyDescent="0.25">
      <c r="A408" t="s">
        <v>426</v>
      </c>
      <c r="B408" t="s">
        <v>20</v>
      </c>
      <c r="C408" s="10">
        <v>45401</v>
      </c>
      <c r="D408" s="18" t="str">
        <f t="shared" si="18"/>
        <v>April</v>
      </c>
      <c r="E408" s="11" t="str">
        <f t="shared" si="19"/>
        <v>2024</v>
      </c>
      <c r="F408" t="s">
        <v>24</v>
      </c>
      <c r="G408" s="2">
        <v>46574</v>
      </c>
      <c r="H408" s="2">
        <v>18250</v>
      </c>
      <c r="I408" s="2">
        <v>616</v>
      </c>
      <c r="J408" s="2">
        <v>489</v>
      </c>
      <c r="K408" s="2">
        <v>822</v>
      </c>
      <c r="L408" s="5">
        <f t="shared" si="20"/>
        <v>0.10558904109589042</v>
      </c>
    </row>
    <row r="409" spans="1:12" x14ac:dyDescent="0.25">
      <c r="A409" t="s">
        <v>427</v>
      </c>
      <c r="B409" t="s">
        <v>17</v>
      </c>
      <c r="C409" s="10">
        <v>45540</v>
      </c>
      <c r="D409" s="18" t="str">
        <f t="shared" si="18"/>
        <v>September</v>
      </c>
      <c r="E409" s="11" t="str">
        <f t="shared" si="19"/>
        <v>2024</v>
      </c>
      <c r="F409" t="s">
        <v>18</v>
      </c>
      <c r="G409" s="2">
        <v>11288</v>
      </c>
      <c r="H409" s="2">
        <v>9803</v>
      </c>
      <c r="I409" s="2">
        <v>183</v>
      </c>
      <c r="J409" s="2">
        <v>71</v>
      </c>
      <c r="K409" s="2">
        <v>172</v>
      </c>
      <c r="L409" s="5">
        <f t="shared" si="20"/>
        <v>4.3456084871977968E-2</v>
      </c>
    </row>
    <row r="410" spans="1:12" x14ac:dyDescent="0.25">
      <c r="A410" t="s">
        <v>428</v>
      </c>
      <c r="B410" t="s">
        <v>14</v>
      </c>
      <c r="C410" s="10">
        <v>45977</v>
      </c>
      <c r="D410" s="18" t="str">
        <f t="shared" si="18"/>
        <v>November</v>
      </c>
      <c r="E410" s="11" t="str">
        <f t="shared" si="19"/>
        <v>2025</v>
      </c>
      <c r="F410" t="s">
        <v>32</v>
      </c>
      <c r="G410" s="2">
        <v>28606</v>
      </c>
      <c r="H410" s="2">
        <v>20603</v>
      </c>
      <c r="I410" s="2">
        <v>1524</v>
      </c>
      <c r="J410" s="2">
        <v>200</v>
      </c>
      <c r="K410" s="2">
        <v>124</v>
      </c>
      <c r="L410" s="5">
        <f t="shared" si="20"/>
        <v>8.9695675387079551E-2</v>
      </c>
    </row>
    <row r="411" spans="1:12" x14ac:dyDescent="0.25">
      <c r="A411" t="s">
        <v>429</v>
      </c>
      <c r="B411" t="s">
        <v>17</v>
      </c>
      <c r="C411" s="10">
        <v>45759</v>
      </c>
      <c r="D411" s="18" t="str">
        <f t="shared" si="18"/>
        <v>April</v>
      </c>
      <c r="E411" s="11" t="str">
        <f t="shared" si="19"/>
        <v>2025</v>
      </c>
      <c r="F411" t="s">
        <v>15</v>
      </c>
      <c r="G411" s="2">
        <v>14074</v>
      </c>
      <c r="H411" s="2">
        <v>12291</v>
      </c>
      <c r="I411" s="2">
        <v>200</v>
      </c>
      <c r="J411" s="2">
        <v>83</v>
      </c>
      <c r="K411" s="2">
        <v>116</v>
      </c>
      <c r="L411" s="5">
        <f t="shared" si="20"/>
        <v>3.2462777642177205E-2</v>
      </c>
    </row>
    <row r="412" spans="1:12" x14ac:dyDescent="0.25">
      <c r="A412" t="s">
        <v>430</v>
      </c>
      <c r="B412" t="s">
        <v>11</v>
      </c>
      <c r="C412" s="10">
        <v>45617</v>
      </c>
      <c r="D412" s="18" t="str">
        <f t="shared" si="18"/>
        <v>November</v>
      </c>
      <c r="E412" s="11" t="str">
        <f t="shared" si="19"/>
        <v>2024</v>
      </c>
      <c r="F412" t="s">
        <v>18</v>
      </c>
      <c r="G412" s="2">
        <v>59270</v>
      </c>
      <c r="H412" s="2">
        <v>26853</v>
      </c>
      <c r="I412" s="2">
        <v>662</v>
      </c>
      <c r="J412" s="2">
        <v>429</v>
      </c>
      <c r="K412" s="2">
        <v>453</v>
      </c>
      <c r="L412" s="5">
        <f t="shared" si="20"/>
        <v>5.749823111011805E-2</v>
      </c>
    </row>
    <row r="413" spans="1:12" x14ac:dyDescent="0.25">
      <c r="A413" t="s">
        <v>431</v>
      </c>
      <c r="B413" t="s">
        <v>11</v>
      </c>
      <c r="C413" s="10">
        <v>45943</v>
      </c>
      <c r="D413" s="18" t="str">
        <f t="shared" si="18"/>
        <v>October</v>
      </c>
      <c r="E413" s="11" t="str">
        <f t="shared" si="19"/>
        <v>2025</v>
      </c>
      <c r="F413" t="s">
        <v>18</v>
      </c>
      <c r="G413" s="2">
        <v>75915</v>
      </c>
      <c r="H413" s="2">
        <v>40960</v>
      </c>
      <c r="I413" s="2">
        <v>1949</v>
      </c>
      <c r="J413" s="2">
        <v>534</v>
      </c>
      <c r="K413" s="2">
        <v>352</v>
      </c>
      <c r="L413" s="5">
        <f t="shared" si="20"/>
        <v>6.92138671875E-2</v>
      </c>
    </row>
    <row r="414" spans="1:12" x14ac:dyDescent="0.25">
      <c r="A414" t="s">
        <v>432</v>
      </c>
      <c r="B414" t="s">
        <v>14</v>
      </c>
      <c r="C414" s="10">
        <v>45888</v>
      </c>
      <c r="D414" s="18" t="str">
        <f t="shared" si="18"/>
        <v>August</v>
      </c>
      <c r="E414" s="11" t="str">
        <f t="shared" si="19"/>
        <v>2025</v>
      </c>
      <c r="F414" t="s">
        <v>18</v>
      </c>
      <c r="G414" s="2">
        <v>72976</v>
      </c>
      <c r="H414" s="2">
        <v>47147</v>
      </c>
      <c r="I414" s="2">
        <v>1145</v>
      </c>
      <c r="J414" s="2">
        <v>503</v>
      </c>
      <c r="K414" s="2">
        <v>360</v>
      </c>
      <c r="L414" s="5">
        <f t="shared" si="20"/>
        <v>4.2590196619084988E-2</v>
      </c>
    </row>
    <row r="415" spans="1:12" x14ac:dyDescent="0.25">
      <c r="A415" t="s">
        <v>433</v>
      </c>
      <c r="B415" t="s">
        <v>14</v>
      </c>
      <c r="C415" s="10">
        <v>45712</v>
      </c>
      <c r="D415" s="18" t="str">
        <f t="shared" si="18"/>
        <v>February</v>
      </c>
      <c r="E415" s="11" t="str">
        <f t="shared" si="19"/>
        <v>2025</v>
      </c>
      <c r="F415" t="s">
        <v>24</v>
      </c>
      <c r="G415" s="2">
        <v>84491</v>
      </c>
      <c r="H415" s="2">
        <v>47181</v>
      </c>
      <c r="I415" s="2">
        <v>1531</v>
      </c>
      <c r="J415" s="2">
        <v>410</v>
      </c>
      <c r="K415" s="2">
        <v>254</v>
      </c>
      <c r="L415" s="5">
        <f t="shared" si="20"/>
        <v>4.6522964752760645E-2</v>
      </c>
    </row>
    <row r="416" spans="1:12" x14ac:dyDescent="0.25">
      <c r="A416" t="s">
        <v>434</v>
      </c>
      <c r="B416" t="s">
        <v>14</v>
      </c>
      <c r="C416" s="10">
        <v>45531</v>
      </c>
      <c r="D416" s="18" t="str">
        <f t="shared" si="18"/>
        <v>August</v>
      </c>
      <c r="E416" s="11" t="str">
        <f t="shared" si="19"/>
        <v>2024</v>
      </c>
      <c r="F416" t="s">
        <v>32</v>
      </c>
      <c r="G416" s="2">
        <v>41900</v>
      </c>
      <c r="H416" s="2">
        <v>25392</v>
      </c>
      <c r="I416" s="2">
        <v>557</v>
      </c>
      <c r="J416" s="2">
        <v>158</v>
      </c>
      <c r="K416" s="2">
        <v>145</v>
      </c>
      <c r="L416" s="5">
        <f t="shared" si="20"/>
        <v>3.3868935097668557E-2</v>
      </c>
    </row>
    <row r="417" spans="1:12" x14ac:dyDescent="0.25">
      <c r="A417" t="s">
        <v>435</v>
      </c>
      <c r="B417" t="s">
        <v>14</v>
      </c>
      <c r="C417" s="10">
        <v>45950</v>
      </c>
      <c r="D417" s="18" t="str">
        <f t="shared" si="18"/>
        <v>October</v>
      </c>
      <c r="E417" s="11" t="str">
        <f t="shared" si="19"/>
        <v>2025</v>
      </c>
      <c r="F417" t="s">
        <v>32</v>
      </c>
      <c r="G417" s="2">
        <v>2092</v>
      </c>
      <c r="H417" s="2">
        <v>1004</v>
      </c>
      <c r="I417" s="2">
        <v>23</v>
      </c>
      <c r="J417" s="2">
        <v>13</v>
      </c>
      <c r="K417" s="2">
        <v>3</v>
      </c>
      <c r="L417" s="5">
        <f t="shared" si="20"/>
        <v>3.8844621513944223E-2</v>
      </c>
    </row>
    <row r="418" spans="1:12" x14ac:dyDescent="0.25">
      <c r="A418" t="s">
        <v>436</v>
      </c>
      <c r="B418" t="s">
        <v>20</v>
      </c>
      <c r="C418" s="10">
        <v>45524</v>
      </c>
      <c r="D418" s="18" t="str">
        <f t="shared" si="18"/>
        <v>August</v>
      </c>
      <c r="E418" s="11" t="str">
        <f t="shared" si="19"/>
        <v>2024</v>
      </c>
      <c r="F418" t="s">
        <v>24</v>
      </c>
      <c r="G418" s="2">
        <v>74779</v>
      </c>
      <c r="H418" s="2">
        <v>35446</v>
      </c>
      <c r="I418" s="2">
        <v>2176</v>
      </c>
      <c r="J418" s="2">
        <v>1055</v>
      </c>
      <c r="K418" s="2">
        <v>1520</v>
      </c>
      <c r="L418" s="5">
        <f t="shared" si="20"/>
        <v>0.13403486994301189</v>
      </c>
    </row>
    <row r="419" spans="1:12" x14ac:dyDescent="0.25">
      <c r="A419" t="s">
        <v>437</v>
      </c>
      <c r="B419" t="s">
        <v>26</v>
      </c>
      <c r="C419" s="10">
        <v>45625</v>
      </c>
      <c r="D419" s="18" t="str">
        <f t="shared" si="18"/>
        <v>November</v>
      </c>
      <c r="E419" s="11" t="str">
        <f t="shared" si="19"/>
        <v>2024</v>
      </c>
      <c r="F419" t="s">
        <v>12</v>
      </c>
      <c r="G419" s="2">
        <v>9916</v>
      </c>
      <c r="H419" s="2">
        <v>7511</v>
      </c>
      <c r="I419" s="2">
        <v>307</v>
      </c>
      <c r="J419" s="2">
        <v>78</v>
      </c>
      <c r="K419" s="2">
        <v>100</v>
      </c>
      <c r="L419" s="5">
        <f t="shared" si="20"/>
        <v>6.4571961123685268E-2</v>
      </c>
    </row>
    <row r="420" spans="1:12" x14ac:dyDescent="0.25">
      <c r="A420" t="s">
        <v>438</v>
      </c>
      <c r="B420" t="s">
        <v>11</v>
      </c>
      <c r="C420" s="10">
        <v>45325</v>
      </c>
      <c r="D420" s="18" t="str">
        <f t="shared" si="18"/>
        <v>February</v>
      </c>
      <c r="E420" s="11" t="str">
        <f t="shared" si="19"/>
        <v>2024</v>
      </c>
      <c r="F420" t="s">
        <v>12</v>
      </c>
      <c r="G420" s="2">
        <v>4445</v>
      </c>
      <c r="H420" s="2">
        <v>2252</v>
      </c>
      <c r="I420" s="2">
        <v>43</v>
      </c>
      <c r="J420" s="2">
        <v>16</v>
      </c>
      <c r="K420" s="2">
        <v>36</v>
      </c>
      <c r="L420" s="5">
        <f t="shared" si="20"/>
        <v>4.2184724689165183E-2</v>
      </c>
    </row>
    <row r="421" spans="1:12" x14ac:dyDescent="0.25">
      <c r="A421" t="s">
        <v>439</v>
      </c>
      <c r="B421" t="s">
        <v>17</v>
      </c>
      <c r="C421" s="10">
        <v>45668</v>
      </c>
      <c r="D421" s="18" t="str">
        <f t="shared" si="18"/>
        <v>January</v>
      </c>
      <c r="E421" s="11" t="str">
        <f t="shared" si="19"/>
        <v>2025</v>
      </c>
      <c r="F421" t="s">
        <v>12</v>
      </c>
      <c r="G421" s="2">
        <v>22072</v>
      </c>
      <c r="H421" s="2">
        <v>19403</v>
      </c>
      <c r="I421" s="2">
        <v>308</v>
      </c>
      <c r="J421" s="2">
        <v>40</v>
      </c>
      <c r="K421" s="2">
        <v>356</v>
      </c>
      <c r="L421" s="5">
        <f t="shared" si="20"/>
        <v>3.628304901303922E-2</v>
      </c>
    </row>
    <row r="422" spans="1:12" x14ac:dyDescent="0.25">
      <c r="A422" t="s">
        <v>440</v>
      </c>
      <c r="B422" t="s">
        <v>20</v>
      </c>
      <c r="C422" s="10">
        <v>45792</v>
      </c>
      <c r="D422" s="18" t="str">
        <f t="shared" si="18"/>
        <v>May</v>
      </c>
      <c r="E422" s="11" t="str">
        <f t="shared" si="19"/>
        <v>2025</v>
      </c>
      <c r="F422" t="s">
        <v>24</v>
      </c>
      <c r="G422" s="2">
        <v>30790</v>
      </c>
      <c r="H422" s="2">
        <v>15756</v>
      </c>
      <c r="I422" s="2">
        <v>1096</v>
      </c>
      <c r="J422" s="2">
        <v>467</v>
      </c>
      <c r="K422" s="2">
        <v>541</v>
      </c>
      <c r="L422" s="5">
        <f t="shared" si="20"/>
        <v>0.13353643056613354</v>
      </c>
    </row>
    <row r="423" spans="1:12" x14ac:dyDescent="0.25">
      <c r="A423" t="s">
        <v>441</v>
      </c>
      <c r="B423" t="s">
        <v>20</v>
      </c>
      <c r="C423" s="10">
        <v>45735</v>
      </c>
      <c r="D423" s="18" t="str">
        <f t="shared" si="18"/>
        <v>March</v>
      </c>
      <c r="E423" s="11" t="str">
        <f t="shared" si="19"/>
        <v>2025</v>
      </c>
      <c r="F423" t="s">
        <v>18</v>
      </c>
      <c r="G423" s="2">
        <v>251932</v>
      </c>
      <c r="H423" s="2">
        <v>111570</v>
      </c>
      <c r="I423" s="2">
        <v>8185</v>
      </c>
      <c r="J423" s="2">
        <v>2293</v>
      </c>
      <c r="K423" s="2">
        <v>2855</v>
      </c>
      <c r="L423" s="5">
        <f t="shared" si="20"/>
        <v>0.11950345074840907</v>
      </c>
    </row>
    <row r="424" spans="1:12" x14ac:dyDescent="0.25">
      <c r="A424" t="s">
        <v>442</v>
      </c>
      <c r="B424" t="s">
        <v>11</v>
      </c>
      <c r="C424" s="10">
        <v>45596</v>
      </c>
      <c r="D424" s="18" t="str">
        <f t="shared" si="18"/>
        <v>October</v>
      </c>
      <c r="E424" s="11" t="str">
        <f t="shared" si="19"/>
        <v>2024</v>
      </c>
      <c r="F424" t="s">
        <v>32</v>
      </c>
      <c r="G424" s="2">
        <v>30992</v>
      </c>
      <c r="H424" s="2">
        <v>20919</v>
      </c>
      <c r="I424" s="2">
        <v>603</v>
      </c>
      <c r="J424" s="2">
        <v>409</v>
      </c>
      <c r="K424" s="2">
        <v>243</v>
      </c>
      <c r="L424" s="5">
        <f t="shared" si="20"/>
        <v>5.9993307519479899E-2</v>
      </c>
    </row>
    <row r="425" spans="1:12" x14ac:dyDescent="0.25">
      <c r="A425" t="s">
        <v>443</v>
      </c>
      <c r="B425" t="s">
        <v>20</v>
      </c>
      <c r="C425" s="10">
        <v>45944</v>
      </c>
      <c r="D425" s="18" t="str">
        <f t="shared" si="18"/>
        <v>October</v>
      </c>
      <c r="E425" s="11" t="str">
        <f t="shared" si="19"/>
        <v>2025</v>
      </c>
      <c r="F425" t="s">
        <v>24</v>
      </c>
      <c r="G425" s="2">
        <v>143707</v>
      </c>
      <c r="H425" s="2">
        <v>79032</v>
      </c>
      <c r="I425" s="2">
        <v>9168</v>
      </c>
      <c r="J425" s="2">
        <v>2327</v>
      </c>
      <c r="K425" s="2">
        <v>3788</v>
      </c>
      <c r="L425" s="5">
        <f t="shared" si="20"/>
        <v>0.19337736613017512</v>
      </c>
    </row>
    <row r="426" spans="1:12" x14ac:dyDescent="0.25">
      <c r="A426" t="s">
        <v>444</v>
      </c>
      <c r="B426" t="s">
        <v>17</v>
      </c>
      <c r="C426" s="10">
        <v>45866</v>
      </c>
      <c r="D426" s="18" t="str">
        <f t="shared" si="18"/>
        <v>July</v>
      </c>
      <c r="E426" s="11" t="str">
        <f t="shared" si="19"/>
        <v>2025</v>
      </c>
      <c r="F426" t="s">
        <v>15</v>
      </c>
      <c r="G426" s="2">
        <v>4868</v>
      </c>
      <c r="H426" s="2">
        <v>2740</v>
      </c>
      <c r="I426" s="2">
        <v>38</v>
      </c>
      <c r="J426" s="2">
        <v>19</v>
      </c>
      <c r="K426" s="2">
        <v>16</v>
      </c>
      <c r="L426" s="5">
        <f t="shared" si="20"/>
        <v>2.6642335766423358E-2</v>
      </c>
    </row>
    <row r="427" spans="1:12" x14ac:dyDescent="0.25">
      <c r="A427" t="s">
        <v>445</v>
      </c>
      <c r="B427" t="s">
        <v>17</v>
      </c>
      <c r="C427" s="10">
        <v>45409</v>
      </c>
      <c r="D427" s="18" t="str">
        <f t="shared" si="18"/>
        <v>April</v>
      </c>
      <c r="E427" s="11" t="str">
        <f t="shared" si="19"/>
        <v>2024</v>
      </c>
      <c r="F427" t="s">
        <v>12</v>
      </c>
      <c r="G427" s="2">
        <v>21535</v>
      </c>
      <c r="H427" s="2">
        <v>12055</v>
      </c>
      <c r="I427" s="2">
        <v>361</v>
      </c>
      <c r="J427" s="2">
        <v>29</v>
      </c>
      <c r="K427" s="2">
        <v>205</v>
      </c>
      <c r="L427" s="5">
        <f t="shared" si="20"/>
        <v>4.9357113231024471E-2</v>
      </c>
    </row>
    <row r="428" spans="1:12" x14ac:dyDescent="0.25">
      <c r="A428" t="s">
        <v>446</v>
      </c>
      <c r="B428" t="s">
        <v>14</v>
      </c>
      <c r="C428" s="10">
        <v>45464</v>
      </c>
      <c r="D428" s="18" t="str">
        <f t="shared" si="18"/>
        <v>June</v>
      </c>
      <c r="E428" s="11" t="str">
        <f t="shared" si="19"/>
        <v>2024</v>
      </c>
      <c r="F428" t="s">
        <v>18</v>
      </c>
      <c r="G428" s="2">
        <v>72066</v>
      </c>
      <c r="H428" s="2">
        <v>37138</v>
      </c>
      <c r="I428" s="2">
        <v>948</v>
      </c>
      <c r="J428" s="2">
        <v>470</v>
      </c>
      <c r="K428" s="2">
        <v>278</v>
      </c>
      <c r="L428" s="5">
        <f t="shared" si="20"/>
        <v>4.5667510366740265E-2</v>
      </c>
    </row>
    <row r="429" spans="1:12" x14ac:dyDescent="0.25">
      <c r="A429" t="s">
        <v>447</v>
      </c>
      <c r="B429" t="s">
        <v>17</v>
      </c>
      <c r="C429" s="10">
        <v>45807</v>
      </c>
      <c r="D429" s="18" t="str">
        <f t="shared" si="18"/>
        <v>May</v>
      </c>
      <c r="E429" s="11" t="str">
        <f t="shared" si="19"/>
        <v>2025</v>
      </c>
      <c r="F429" t="s">
        <v>15</v>
      </c>
      <c r="G429" s="2">
        <v>24044</v>
      </c>
      <c r="H429" s="2">
        <v>17053</v>
      </c>
      <c r="I429" s="2">
        <v>370</v>
      </c>
      <c r="J429" s="2">
        <v>101</v>
      </c>
      <c r="K429" s="2">
        <v>184</v>
      </c>
      <c r="L429" s="5">
        <f t="shared" si="20"/>
        <v>3.8409663988740982E-2</v>
      </c>
    </row>
    <row r="430" spans="1:12" x14ac:dyDescent="0.25">
      <c r="A430" t="s">
        <v>448</v>
      </c>
      <c r="B430" t="s">
        <v>14</v>
      </c>
      <c r="C430" s="10">
        <v>45747</v>
      </c>
      <c r="D430" s="18" t="str">
        <f t="shared" si="18"/>
        <v>March</v>
      </c>
      <c r="E430" s="11" t="str">
        <f t="shared" si="19"/>
        <v>2025</v>
      </c>
      <c r="F430" t="s">
        <v>18</v>
      </c>
      <c r="G430" s="2">
        <v>117879</v>
      </c>
      <c r="H430" s="2">
        <v>84135</v>
      </c>
      <c r="I430" s="2">
        <v>3779</v>
      </c>
      <c r="J430" s="2">
        <v>219</v>
      </c>
      <c r="K430" s="2">
        <v>331</v>
      </c>
      <c r="L430" s="5">
        <f t="shared" si="20"/>
        <v>5.1453021929042608E-2</v>
      </c>
    </row>
    <row r="431" spans="1:12" x14ac:dyDescent="0.25">
      <c r="A431" t="s">
        <v>449</v>
      </c>
      <c r="B431" t="s">
        <v>11</v>
      </c>
      <c r="C431" s="10">
        <v>45860</v>
      </c>
      <c r="D431" s="18" t="str">
        <f t="shared" si="18"/>
        <v>July</v>
      </c>
      <c r="E431" s="11" t="str">
        <f t="shared" si="19"/>
        <v>2025</v>
      </c>
      <c r="F431" t="s">
        <v>15</v>
      </c>
      <c r="G431" s="2">
        <v>14346</v>
      </c>
      <c r="H431" s="2">
        <v>9357</v>
      </c>
      <c r="I431" s="2">
        <v>141</v>
      </c>
      <c r="J431" s="2">
        <v>163</v>
      </c>
      <c r="K431" s="2">
        <v>79</v>
      </c>
      <c r="L431" s="5">
        <f t="shared" si="20"/>
        <v>4.0931922624772896E-2</v>
      </c>
    </row>
    <row r="432" spans="1:12" x14ac:dyDescent="0.25">
      <c r="A432" t="s">
        <v>450</v>
      </c>
      <c r="B432" t="s">
        <v>26</v>
      </c>
      <c r="C432" s="10">
        <v>45694</v>
      </c>
      <c r="D432" s="18" t="str">
        <f t="shared" si="18"/>
        <v>February</v>
      </c>
      <c r="E432" s="11" t="str">
        <f t="shared" si="19"/>
        <v>2025</v>
      </c>
      <c r="F432" t="s">
        <v>15</v>
      </c>
      <c r="G432" s="2">
        <v>3303</v>
      </c>
      <c r="H432" s="2">
        <v>1627</v>
      </c>
      <c r="I432" s="2">
        <v>45</v>
      </c>
      <c r="J432" s="2">
        <v>31</v>
      </c>
      <c r="K432" s="2">
        <v>16</v>
      </c>
      <c r="L432" s="5">
        <f t="shared" si="20"/>
        <v>5.6545789797172709E-2</v>
      </c>
    </row>
    <row r="433" spans="1:12" x14ac:dyDescent="0.25">
      <c r="A433" t="s">
        <v>451</v>
      </c>
      <c r="B433" t="s">
        <v>17</v>
      </c>
      <c r="C433" s="10">
        <v>45488</v>
      </c>
      <c r="D433" s="18" t="str">
        <f t="shared" si="18"/>
        <v>July</v>
      </c>
      <c r="E433" s="11" t="str">
        <f t="shared" si="19"/>
        <v>2024</v>
      </c>
      <c r="F433" t="s">
        <v>15</v>
      </c>
      <c r="G433" s="2">
        <v>7765</v>
      </c>
      <c r="H433" s="2">
        <v>5378</v>
      </c>
      <c r="I433" s="2">
        <v>111</v>
      </c>
      <c r="J433" s="2">
        <v>15</v>
      </c>
      <c r="K433" s="2">
        <v>26</v>
      </c>
      <c r="L433" s="5">
        <f t="shared" si="20"/>
        <v>2.8263294905169208E-2</v>
      </c>
    </row>
    <row r="434" spans="1:12" x14ac:dyDescent="0.25">
      <c r="A434" t="s">
        <v>452</v>
      </c>
      <c r="B434" t="s">
        <v>11</v>
      </c>
      <c r="C434" s="10">
        <v>45705</v>
      </c>
      <c r="D434" s="18" t="str">
        <f t="shared" si="18"/>
        <v>February</v>
      </c>
      <c r="E434" s="11" t="str">
        <f t="shared" si="19"/>
        <v>2025</v>
      </c>
      <c r="F434" t="s">
        <v>32</v>
      </c>
      <c r="G434" s="2">
        <v>21592</v>
      </c>
      <c r="H434" s="2">
        <v>8602</v>
      </c>
      <c r="I434" s="2">
        <v>123</v>
      </c>
      <c r="J434" s="2">
        <v>161</v>
      </c>
      <c r="K434" s="2">
        <v>152</v>
      </c>
      <c r="L434" s="5">
        <f t="shared" si="20"/>
        <v>5.0685887003022553E-2</v>
      </c>
    </row>
    <row r="435" spans="1:12" x14ac:dyDescent="0.25">
      <c r="A435" t="s">
        <v>453</v>
      </c>
      <c r="B435" t="s">
        <v>17</v>
      </c>
      <c r="C435" s="10">
        <v>45971</v>
      </c>
      <c r="D435" s="18" t="str">
        <f t="shared" si="18"/>
        <v>November</v>
      </c>
      <c r="E435" s="11" t="str">
        <f t="shared" si="19"/>
        <v>2025</v>
      </c>
      <c r="F435" t="s">
        <v>15</v>
      </c>
      <c r="G435" s="2">
        <v>13531</v>
      </c>
      <c r="H435" s="2">
        <v>11061</v>
      </c>
      <c r="I435" s="2">
        <v>55</v>
      </c>
      <c r="J435" s="2">
        <v>40</v>
      </c>
      <c r="K435" s="2">
        <v>183</v>
      </c>
      <c r="L435" s="5">
        <f t="shared" si="20"/>
        <v>2.5133351414881114E-2</v>
      </c>
    </row>
    <row r="436" spans="1:12" x14ac:dyDescent="0.25">
      <c r="A436" t="s">
        <v>454</v>
      </c>
      <c r="B436" t="s">
        <v>14</v>
      </c>
      <c r="C436" s="10">
        <v>45795</v>
      </c>
      <c r="D436" s="18" t="str">
        <f t="shared" si="18"/>
        <v>May</v>
      </c>
      <c r="E436" s="11" t="str">
        <f t="shared" si="19"/>
        <v>2025</v>
      </c>
      <c r="F436" t="s">
        <v>24</v>
      </c>
      <c r="G436" s="2">
        <v>87545</v>
      </c>
      <c r="H436" s="2">
        <v>56804</v>
      </c>
      <c r="I436" s="2">
        <v>3480</v>
      </c>
      <c r="J436" s="2">
        <v>778</v>
      </c>
      <c r="K436" s="2">
        <v>443</v>
      </c>
      <c r="L436" s="5">
        <f t="shared" si="20"/>
        <v>8.2758256460812613E-2</v>
      </c>
    </row>
    <row r="437" spans="1:12" x14ac:dyDescent="0.25">
      <c r="A437" t="s">
        <v>455</v>
      </c>
      <c r="B437" t="s">
        <v>14</v>
      </c>
      <c r="C437" s="10">
        <v>45554</v>
      </c>
      <c r="D437" s="18" t="str">
        <f t="shared" si="18"/>
        <v>September</v>
      </c>
      <c r="E437" s="11" t="str">
        <f t="shared" si="19"/>
        <v>2024</v>
      </c>
      <c r="F437" t="s">
        <v>24</v>
      </c>
      <c r="G437" s="2">
        <v>30509</v>
      </c>
      <c r="H437" s="2">
        <v>19164</v>
      </c>
      <c r="I437" s="2">
        <v>769</v>
      </c>
      <c r="J437" s="2">
        <v>216</v>
      </c>
      <c r="K437" s="2">
        <v>43</v>
      </c>
      <c r="L437" s="5">
        <f t="shared" si="20"/>
        <v>5.3642245877687331E-2</v>
      </c>
    </row>
    <row r="438" spans="1:12" x14ac:dyDescent="0.25">
      <c r="A438" t="s">
        <v>456</v>
      </c>
      <c r="B438" t="s">
        <v>14</v>
      </c>
      <c r="C438" s="10">
        <v>45629</v>
      </c>
      <c r="D438" s="18" t="str">
        <f t="shared" si="18"/>
        <v>December</v>
      </c>
      <c r="E438" s="11" t="str">
        <f t="shared" si="19"/>
        <v>2024</v>
      </c>
      <c r="F438" t="s">
        <v>32</v>
      </c>
      <c r="G438" s="2">
        <v>53167</v>
      </c>
      <c r="H438" s="2">
        <v>23514</v>
      </c>
      <c r="I438" s="2">
        <v>1779</v>
      </c>
      <c r="J438" s="2">
        <v>332</v>
      </c>
      <c r="K438" s="2">
        <v>44</v>
      </c>
      <c r="L438" s="5">
        <f t="shared" si="20"/>
        <v>9.1647529131581182E-2</v>
      </c>
    </row>
    <row r="439" spans="1:12" x14ac:dyDescent="0.25">
      <c r="A439" t="s">
        <v>457</v>
      </c>
      <c r="B439" t="s">
        <v>11</v>
      </c>
      <c r="C439" s="10">
        <v>45365</v>
      </c>
      <c r="D439" s="18" t="str">
        <f t="shared" si="18"/>
        <v>March</v>
      </c>
      <c r="E439" s="11" t="str">
        <f t="shared" si="19"/>
        <v>2024</v>
      </c>
      <c r="F439" t="s">
        <v>15</v>
      </c>
      <c r="G439" s="2">
        <v>22118</v>
      </c>
      <c r="H439" s="2">
        <v>10636</v>
      </c>
      <c r="I439" s="2">
        <v>350</v>
      </c>
      <c r="J439" s="2">
        <v>171</v>
      </c>
      <c r="K439" s="2">
        <v>189</v>
      </c>
      <c r="L439" s="5">
        <f t="shared" si="20"/>
        <v>6.6754418954494174E-2</v>
      </c>
    </row>
    <row r="440" spans="1:12" x14ac:dyDescent="0.25">
      <c r="A440" t="s">
        <v>458</v>
      </c>
      <c r="B440" t="s">
        <v>20</v>
      </c>
      <c r="C440" s="10">
        <v>45833</v>
      </c>
      <c r="D440" s="18" t="str">
        <f t="shared" si="18"/>
        <v>June</v>
      </c>
      <c r="E440" s="11" t="str">
        <f t="shared" si="19"/>
        <v>2025</v>
      </c>
      <c r="F440" t="s">
        <v>24</v>
      </c>
      <c r="G440" s="2">
        <v>6518</v>
      </c>
      <c r="H440" s="2">
        <v>4208</v>
      </c>
      <c r="I440" s="2">
        <v>456</v>
      </c>
      <c r="J440" s="2">
        <v>113</v>
      </c>
      <c r="K440" s="2">
        <v>50</v>
      </c>
      <c r="L440" s="5">
        <f t="shared" si="20"/>
        <v>0.14710076045627377</v>
      </c>
    </row>
    <row r="441" spans="1:12" x14ac:dyDescent="0.25">
      <c r="A441" t="s">
        <v>459</v>
      </c>
      <c r="B441" t="s">
        <v>14</v>
      </c>
      <c r="C441" s="10">
        <v>46008</v>
      </c>
      <c r="D441" s="18" t="str">
        <f t="shared" si="18"/>
        <v>December</v>
      </c>
      <c r="E441" s="11" t="str">
        <f t="shared" si="19"/>
        <v>2025</v>
      </c>
      <c r="F441" t="s">
        <v>32</v>
      </c>
      <c r="G441" s="2">
        <v>57148</v>
      </c>
      <c r="H441" s="2">
        <v>44870</v>
      </c>
      <c r="I441" s="2">
        <v>1514</v>
      </c>
      <c r="J441" s="2">
        <v>359</v>
      </c>
      <c r="K441" s="2">
        <v>292</v>
      </c>
      <c r="L441" s="5">
        <f t="shared" si="20"/>
        <v>4.8250501448629371E-2</v>
      </c>
    </row>
    <row r="442" spans="1:12" x14ac:dyDescent="0.25">
      <c r="A442" t="s">
        <v>460</v>
      </c>
      <c r="B442" t="s">
        <v>11</v>
      </c>
      <c r="C442" s="10">
        <v>45521</v>
      </c>
      <c r="D442" s="18" t="str">
        <f t="shared" si="18"/>
        <v>August</v>
      </c>
      <c r="E442" s="11" t="str">
        <f t="shared" si="19"/>
        <v>2024</v>
      </c>
      <c r="F442" t="s">
        <v>15</v>
      </c>
      <c r="G442" s="2">
        <v>9102</v>
      </c>
      <c r="H442" s="2">
        <v>5221</v>
      </c>
      <c r="I442" s="2">
        <v>83</v>
      </c>
      <c r="J442" s="2">
        <v>19</v>
      </c>
      <c r="K442" s="2">
        <v>36</v>
      </c>
      <c r="L442" s="5">
        <f t="shared" si="20"/>
        <v>2.643171806167401E-2</v>
      </c>
    </row>
    <row r="443" spans="1:12" x14ac:dyDescent="0.25">
      <c r="A443" t="s">
        <v>461</v>
      </c>
      <c r="B443" t="s">
        <v>20</v>
      </c>
      <c r="C443" s="10">
        <v>45575</v>
      </c>
      <c r="D443" s="18" t="str">
        <f t="shared" si="18"/>
        <v>October</v>
      </c>
      <c r="E443" s="11" t="str">
        <f t="shared" si="19"/>
        <v>2024</v>
      </c>
      <c r="F443" t="s">
        <v>24</v>
      </c>
      <c r="G443" s="2">
        <v>392291</v>
      </c>
      <c r="H443" s="2">
        <v>211695</v>
      </c>
      <c r="I443" s="2">
        <v>17800</v>
      </c>
      <c r="J443" s="2">
        <v>3874</v>
      </c>
      <c r="K443" s="2">
        <v>5323</v>
      </c>
      <c r="L443" s="5">
        <f t="shared" si="20"/>
        <v>0.1275278112378658</v>
      </c>
    </row>
    <row r="444" spans="1:12" x14ac:dyDescent="0.25">
      <c r="A444" t="s">
        <v>462</v>
      </c>
      <c r="B444" t="s">
        <v>20</v>
      </c>
      <c r="C444" s="10">
        <v>45549</v>
      </c>
      <c r="D444" s="18" t="str">
        <f t="shared" si="18"/>
        <v>September</v>
      </c>
      <c r="E444" s="11" t="str">
        <f t="shared" si="19"/>
        <v>2024</v>
      </c>
      <c r="F444" t="s">
        <v>24</v>
      </c>
      <c r="G444" s="2">
        <v>82125</v>
      </c>
      <c r="H444" s="2">
        <v>30012</v>
      </c>
      <c r="I444" s="2">
        <v>2121</v>
      </c>
      <c r="J444" s="2">
        <v>621</v>
      </c>
      <c r="K444" s="2">
        <v>1487</v>
      </c>
      <c r="L444" s="5">
        <f t="shared" si="20"/>
        <v>0.1409103025456484</v>
      </c>
    </row>
    <row r="445" spans="1:12" x14ac:dyDescent="0.25">
      <c r="A445" t="s">
        <v>463</v>
      </c>
      <c r="B445" t="s">
        <v>20</v>
      </c>
      <c r="C445" s="10">
        <v>46014</v>
      </c>
      <c r="D445" s="18" t="str">
        <f t="shared" si="18"/>
        <v>December</v>
      </c>
      <c r="E445" s="11" t="str">
        <f t="shared" si="19"/>
        <v>2025</v>
      </c>
      <c r="F445" t="s">
        <v>24</v>
      </c>
      <c r="G445" s="2">
        <v>225458</v>
      </c>
      <c r="H445" s="2">
        <v>132441</v>
      </c>
      <c r="I445" s="2">
        <v>8363</v>
      </c>
      <c r="J445" s="2">
        <v>1585</v>
      </c>
      <c r="K445" s="2">
        <v>3594</v>
      </c>
      <c r="L445" s="5">
        <f t="shared" si="20"/>
        <v>0.102249303463429</v>
      </c>
    </row>
    <row r="446" spans="1:12" x14ac:dyDescent="0.25">
      <c r="A446" t="s">
        <v>464</v>
      </c>
      <c r="B446" t="s">
        <v>17</v>
      </c>
      <c r="C446" s="10">
        <v>45520</v>
      </c>
      <c r="D446" s="18" t="str">
        <f t="shared" si="18"/>
        <v>August</v>
      </c>
      <c r="E446" s="11" t="str">
        <f t="shared" si="19"/>
        <v>2024</v>
      </c>
      <c r="F446" t="s">
        <v>18</v>
      </c>
      <c r="G446" s="2">
        <v>31441</v>
      </c>
      <c r="H446" s="2">
        <v>22917</v>
      </c>
      <c r="I446" s="2">
        <v>633</v>
      </c>
      <c r="J446" s="2">
        <v>99</v>
      </c>
      <c r="K446" s="2">
        <v>79</v>
      </c>
      <c r="L446" s="5">
        <f t="shared" si="20"/>
        <v>3.5388576166164858E-2</v>
      </c>
    </row>
    <row r="447" spans="1:12" x14ac:dyDescent="0.25">
      <c r="A447" t="s">
        <v>465</v>
      </c>
      <c r="B447" t="s">
        <v>14</v>
      </c>
      <c r="C447" s="10">
        <v>45598</v>
      </c>
      <c r="D447" s="18" t="str">
        <f t="shared" si="18"/>
        <v>November</v>
      </c>
      <c r="E447" s="11" t="str">
        <f t="shared" si="19"/>
        <v>2024</v>
      </c>
      <c r="F447" t="s">
        <v>32</v>
      </c>
      <c r="G447" s="2">
        <v>68693</v>
      </c>
      <c r="H447" s="2">
        <v>35653</v>
      </c>
      <c r="I447" s="2">
        <v>896</v>
      </c>
      <c r="J447" s="2">
        <v>435</v>
      </c>
      <c r="K447" s="2">
        <v>174</v>
      </c>
      <c r="L447" s="5">
        <f t="shared" si="20"/>
        <v>4.2212436541104535E-2</v>
      </c>
    </row>
    <row r="448" spans="1:12" x14ac:dyDescent="0.25">
      <c r="A448" t="s">
        <v>466</v>
      </c>
      <c r="B448" t="s">
        <v>20</v>
      </c>
      <c r="C448" s="10">
        <v>45380</v>
      </c>
      <c r="D448" s="18" t="str">
        <f t="shared" si="18"/>
        <v>March</v>
      </c>
      <c r="E448" s="11" t="str">
        <f t="shared" si="19"/>
        <v>2024</v>
      </c>
      <c r="F448" t="s">
        <v>24</v>
      </c>
      <c r="G448" s="2">
        <v>288296</v>
      </c>
      <c r="H448" s="2">
        <v>88273</v>
      </c>
      <c r="I448" s="2">
        <v>4066</v>
      </c>
      <c r="J448" s="2">
        <v>1872</v>
      </c>
      <c r="K448" s="2">
        <v>3760</v>
      </c>
      <c r="L448" s="5">
        <f t="shared" si="20"/>
        <v>0.10986371823773974</v>
      </c>
    </row>
    <row r="449" spans="1:12" x14ac:dyDescent="0.25">
      <c r="A449" t="s">
        <v>467</v>
      </c>
      <c r="B449" t="s">
        <v>11</v>
      </c>
      <c r="C449" s="10">
        <v>45727</v>
      </c>
      <c r="D449" s="18" t="str">
        <f t="shared" si="18"/>
        <v>March</v>
      </c>
      <c r="E449" s="11" t="str">
        <f t="shared" si="19"/>
        <v>2025</v>
      </c>
      <c r="F449" t="s">
        <v>12</v>
      </c>
      <c r="G449" s="2">
        <v>1023</v>
      </c>
      <c r="H449" s="2">
        <v>695</v>
      </c>
      <c r="I449" s="2">
        <v>30</v>
      </c>
      <c r="J449" s="2">
        <v>9</v>
      </c>
      <c r="K449" s="2">
        <v>12</v>
      </c>
      <c r="L449" s="5">
        <f t="shared" si="20"/>
        <v>7.3381294964028773E-2</v>
      </c>
    </row>
    <row r="450" spans="1:12" x14ac:dyDescent="0.25">
      <c r="A450" t="s">
        <v>468</v>
      </c>
      <c r="B450" t="s">
        <v>17</v>
      </c>
      <c r="C450" s="10">
        <v>45293</v>
      </c>
      <c r="D450" s="18" t="str">
        <f t="shared" si="18"/>
        <v>January</v>
      </c>
      <c r="E450" s="11" t="str">
        <f t="shared" si="19"/>
        <v>2024</v>
      </c>
      <c r="F450" t="s">
        <v>18</v>
      </c>
      <c r="G450" s="2">
        <v>3481</v>
      </c>
      <c r="H450" s="2">
        <v>2768</v>
      </c>
      <c r="I450" s="2">
        <v>41</v>
      </c>
      <c r="J450" s="2">
        <v>19</v>
      </c>
      <c r="K450" s="2">
        <v>36</v>
      </c>
      <c r="L450" s="5">
        <f t="shared" si="20"/>
        <v>3.4682080924855488E-2</v>
      </c>
    </row>
    <row r="451" spans="1:12" x14ac:dyDescent="0.25">
      <c r="A451" t="s">
        <v>469</v>
      </c>
      <c r="B451" t="s">
        <v>26</v>
      </c>
      <c r="C451" s="10">
        <v>46002</v>
      </c>
      <c r="D451" s="18" t="str">
        <f t="shared" ref="D451:D514" si="21">TEXT($C451,"MMMM")</f>
        <v>December</v>
      </c>
      <c r="E451" s="11" t="str">
        <f t="shared" ref="E451:E514" si="22">TEXT(C451,"yyyy")</f>
        <v>2025</v>
      </c>
      <c r="F451" t="s">
        <v>12</v>
      </c>
      <c r="G451" s="2">
        <v>18614</v>
      </c>
      <c r="H451" s="2">
        <v>13525</v>
      </c>
      <c r="I451" s="2">
        <v>446</v>
      </c>
      <c r="J451" s="2">
        <v>168</v>
      </c>
      <c r="K451" s="2">
        <v>149</v>
      </c>
      <c r="L451" s="5">
        <f t="shared" ref="L451:L514" si="23">SUM(I451:K451)/H451</f>
        <v>5.6414048059149721E-2</v>
      </c>
    </row>
    <row r="452" spans="1:12" x14ac:dyDescent="0.25">
      <c r="A452" t="s">
        <v>470</v>
      </c>
      <c r="B452" t="s">
        <v>17</v>
      </c>
      <c r="C452" s="10">
        <v>45923</v>
      </c>
      <c r="D452" s="18" t="str">
        <f t="shared" si="21"/>
        <v>September</v>
      </c>
      <c r="E452" s="11" t="str">
        <f t="shared" si="22"/>
        <v>2025</v>
      </c>
      <c r="F452" t="s">
        <v>18</v>
      </c>
      <c r="G452" s="2">
        <v>29996</v>
      </c>
      <c r="H452" s="2">
        <v>16944</v>
      </c>
      <c r="I452" s="2">
        <v>288</v>
      </c>
      <c r="J452" s="2">
        <v>71</v>
      </c>
      <c r="K452" s="2">
        <v>93</v>
      </c>
      <c r="L452" s="5">
        <f t="shared" si="23"/>
        <v>2.667610953729934E-2</v>
      </c>
    </row>
    <row r="453" spans="1:12" x14ac:dyDescent="0.25">
      <c r="A453" t="s">
        <v>471</v>
      </c>
      <c r="B453" t="s">
        <v>17</v>
      </c>
      <c r="C453" s="10">
        <v>45922</v>
      </c>
      <c r="D453" s="18" t="str">
        <f t="shared" si="21"/>
        <v>September</v>
      </c>
      <c r="E453" s="11" t="str">
        <f t="shared" si="22"/>
        <v>2025</v>
      </c>
      <c r="F453" t="s">
        <v>15</v>
      </c>
      <c r="G453" s="2">
        <v>5854</v>
      </c>
      <c r="H453" s="2">
        <v>3519</v>
      </c>
      <c r="I453" s="2">
        <v>68</v>
      </c>
      <c r="J453" s="2">
        <v>7</v>
      </c>
      <c r="K453" s="2">
        <v>60</v>
      </c>
      <c r="L453" s="5">
        <f t="shared" si="23"/>
        <v>3.8363171355498722E-2</v>
      </c>
    </row>
    <row r="454" spans="1:12" x14ac:dyDescent="0.25">
      <c r="A454" t="s">
        <v>472</v>
      </c>
      <c r="B454" t="s">
        <v>11</v>
      </c>
      <c r="C454" s="10">
        <v>45845</v>
      </c>
      <c r="D454" s="18" t="str">
        <f t="shared" si="21"/>
        <v>July</v>
      </c>
      <c r="E454" s="11" t="str">
        <f t="shared" si="22"/>
        <v>2025</v>
      </c>
      <c r="F454" t="s">
        <v>12</v>
      </c>
      <c r="G454" s="2">
        <v>12421</v>
      </c>
      <c r="H454" s="2">
        <v>5242</v>
      </c>
      <c r="I454" s="2">
        <v>156</v>
      </c>
      <c r="J454" s="2">
        <v>19</v>
      </c>
      <c r="K454" s="2">
        <v>100</v>
      </c>
      <c r="L454" s="5">
        <f t="shared" si="23"/>
        <v>5.246089278901183E-2</v>
      </c>
    </row>
    <row r="455" spans="1:12" x14ac:dyDescent="0.25">
      <c r="A455" t="s">
        <v>473</v>
      </c>
      <c r="B455" t="s">
        <v>11</v>
      </c>
      <c r="C455" s="10">
        <v>45654</v>
      </c>
      <c r="D455" s="18" t="str">
        <f t="shared" si="21"/>
        <v>December</v>
      </c>
      <c r="E455" s="11" t="str">
        <f t="shared" si="22"/>
        <v>2024</v>
      </c>
      <c r="F455" t="s">
        <v>15</v>
      </c>
      <c r="G455" s="2">
        <v>26906</v>
      </c>
      <c r="H455" s="2">
        <v>16471</v>
      </c>
      <c r="I455" s="2">
        <v>544</v>
      </c>
      <c r="J455" s="2">
        <v>158</v>
      </c>
      <c r="K455" s="2">
        <v>240</v>
      </c>
      <c r="L455" s="5">
        <f t="shared" si="23"/>
        <v>5.7191427357173211E-2</v>
      </c>
    </row>
    <row r="456" spans="1:12" x14ac:dyDescent="0.25">
      <c r="A456" t="s">
        <v>474</v>
      </c>
      <c r="B456" t="s">
        <v>20</v>
      </c>
      <c r="C456" s="10">
        <v>45883</v>
      </c>
      <c r="D456" s="18" t="str">
        <f t="shared" si="21"/>
        <v>August</v>
      </c>
      <c r="E456" s="11" t="str">
        <f t="shared" si="22"/>
        <v>2025</v>
      </c>
      <c r="F456" t="s">
        <v>24</v>
      </c>
      <c r="G456" s="2">
        <v>328225</v>
      </c>
      <c r="H456" s="2">
        <v>141102</v>
      </c>
      <c r="I456" s="2">
        <v>4621</v>
      </c>
      <c r="J456" s="2">
        <v>3283</v>
      </c>
      <c r="K456" s="2">
        <v>1763</v>
      </c>
      <c r="L456" s="5">
        <f t="shared" si="23"/>
        <v>6.8510722739578464E-2</v>
      </c>
    </row>
    <row r="457" spans="1:12" x14ac:dyDescent="0.25">
      <c r="A457" t="s">
        <v>475</v>
      </c>
      <c r="B457" t="s">
        <v>14</v>
      </c>
      <c r="C457" s="10">
        <v>45679</v>
      </c>
      <c r="D457" s="18" t="str">
        <f t="shared" si="21"/>
        <v>January</v>
      </c>
      <c r="E457" s="11" t="str">
        <f t="shared" si="22"/>
        <v>2025</v>
      </c>
      <c r="F457" t="s">
        <v>15</v>
      </c>
      <c r="G457" s="2">
        <v>17569</v>
      </c>
      <c r="H457" s="2">
        <v>11376</v>
      </c>
      <c r="I457" s="2">
        <v>827</v>
      </c>
      <c r="J457" s="2">
        <v>41</v>
      </c>
      <c r="K457" s="2">
        <v>46</v>
      </c>
      <c r="L457" s="5">
        <f t="shared" si="23"/>
        <v>8.0344585091420534E-2</v>
      </c>
    </row>
    <row r="458" spans="1:12" x14ac:dyDescent="0.25">
      <c r="A458" t="s">
        <v>476</v>
      </c>
      <c r="B458" t="s">
        <v>14</v>
      </c>
      <c r="C458" s="10">
        <v>45665</v>
      </c>
      <c r="D458" s="18" t="str">
        <f t="shared" si="21"/>
        <v>January</v>
      </c>
      <c r="E458" s="11" t="str">
        <f t="shared" si="22"/>
        <v>2025</v>
      </c>
      <c r="F458" t="s">
        <v>24</v>
      </c>
      <c r="G458" s="2">
        <v>66334</v>
      </c>
      <c r="H458" s="2">
        <v>51977</v>
      </c>
      <c r="I458" s="2">
        <v>3856</v>
      </c>
      <c r="J458" s="2">
        <v>534</v>
      </c>
      <c r="K458" s="2">
        <v>80</v>
      </c>
      <c r="L458" s="5">
        <f t="shared" si="23"/>
        <v>8.5999576735863933E-2</v>
      </c>
    </row>
    <row r="459" spans="1:12" x14ac:dyDescent="0.25">
      <c r="A459" t="s">
        <v>477</v>
      </c>
      <c r="B459" t="s">
        <v>26</v>
      </c>
      <c r="C459" s="10">
        <v>45599</v>
      </c>
      <c r="D459" s="18" t="str">
        <f t="shared" si="21"/>
        <v>November</v>
      </c>
      <c r="E459" s="11" t="str">
        <f t="shared" si="22"/>
        <v>2024</v>
      </c>
      <c r="F459" t="s">
        <v>32</v>
      </c>
      <c r="G459" s="2">
        <v>19570</v>
      </c>
      <c r="H459" s="2">
        <v>15430</v>
      </c>
      <c r="I459" s="2">
        <v>681</v>
      </c>
      <c r="J459" s="2">
        <v>176</v>
      </c>
      <c r="K459" s="2">
        <v>156</v>
      </c>
      <c r="L459" s="5">
        <f t="shared" si="23"/>
        <v>6.565132858068698E-2</v>
      </c>
    </row>
    <row r="460" spans="1:12" x14ac:dyDescent="0.25">
      <c r="A460" t="s">
        <v>478</v>
      </c>
      <c r="B460" t="s">
        <v>26</v>
      </c>
      <c r="C460" s="10">
        <v>45419</v>
      </c>
      <c r="D460" s="18" t="str">
        <f t="shared" si="21"/>
        <v>May</v>
      </c>
      <c r="E460" s="11" t="str">
        <f t="shared" si="22"/>
        <v>2024</v>
      </c>
      <c r="F460" t="s">
        <v>12</v>
      </c>
      <c r="G460" s="2">
        <v>9852</v>
      </c>
      <c r="H460" s="2">
        <v>6630</v>
      </c>
      <c r="I460" s="2">
        <v>339</v>
      </c>
      <c r="J460" s="2">
        <v>103</v>
      </c>
      <c r="K460" s="2">
        <v>87</v>
      </c>
      <c r="L460" s="5">
        <f t="shared" si="23"/>
        <v>7.9788838612368018E-2</v>
      </c>
    </row>
    <row r="461" spans="1:12" x14ac:dyDescent="0.25">
      <c r="A461" t="s">
        <v>479</v>
      </c>
      <c r="B461" t="s">
        <v>14</v>
      </c>
      <c r="C461" s="10">
        <v>45931</v>
      </c>
      <c r="D461" s="18" t="str">
        <f t="shared" si="21"/>
        <v>October</v>
      </c>
      <c r="E461" s="11" t="str">
        <f t="shared" si="22"/>
        <v>2025</v>
      </c>
      <c r="F461" t="s">
        <v>18</v>
      </c>
      <c r="G461" s="2">
        <v>92161</v>
      </c>
      <c r="H461" s="2">
        <v>40403</v>
      </c>
      <c r="I461" s="2">
        <v>2368</v>
      </c>
      <c r="J461" s="2">
        <v>102</v>
      </c>
      <c r="K461" s="2">
        <v>87</v>
      </c>
      <c r="L461" s="5">
        <f t="shared" si="23"/>
        <v>6.3287379650025982E-2</v>
      </c>
    </row>
    <row r="462" spans="1:12" x14ac:dyDescent="0.25">
      <c r="A462" t="s">
        <v>480</v>
      </c>
      <c r="B462" t="s">
        <v>11</v>
      </c>
      <c r="C462" s="10">
        <v>45736</v>
      </c>
      <c r="D462" s="18" t="str">
        <f t="shared" si="21"/>
        <v>March</v>
      </c>
      <c r="E462" s="11" t="str">
        <f t="shared" si="22"/>
        <v>2025</v>
      </c>
      <c r="F462" t="s">
        <v>12</v>
      </c>
      <c r="G462" s="2">
        <v>3970</v>
      </c>
      <c r="H462" s="2">
        <v>2263</v>
      </c>
      <c r="I462" s="2">
        <v>24</v>
      </c>
      <c r="J462" s="2">
        <v>8</v>
      </c>
      <c r="K462" s="2">
        <v>28</v>
      </c>
      <c r="L462" s="5">
        <f t="shared" si="23"/>
        <v>2.6513477684489615E-2</v>
      </c>
    </row>
    <row r="463" spans="1:12" x14ac:dyDescent="0.25">
      <c r="A463" t="s">
        <v>481</v>
      </c>
      <c r="B463" t="s">
        <v>20</v>
      </c>
      <c r="C463" s="10">
        <v>45830</v>
      </c>
      <c r="D463" s="18" t="str">
        <f t="shared" si="21"/>
        <v>June</v>
      </c>
      <c r="E463" s="11" t="str">
        <f t="shared" si="22"/>
        <v>2025</v>
      </c>
      <c r="F463" t="s">
        <v>24</v>
      </c>
      <c r="G463" s="2">
        <v>110636</v>
      </c>
      <c r="H463" s="2">
        <v>36923</v>
      </c>
      <c r="I463" s="2">
        <v>1473</v>
      </c>
      <c r="J463" s="2">
        <v>914</v>
      </c>
      <c r="K463" s="2">
        <v>1165</v>
      </c>
      <c r="L463" s="5">
        <f t="shared" si="23"/>
        <v>9.62002004170842E-2</v>
      </c>
    </row>
    <row r="464" spans="1:12" x14ac:dyDescent="0.25">
      <c r="A464" t="s">
        <v>482</v>
      </c>
      <c r="B464" t="s">
        <v>14</v>
      </c>
      <c r="C464" s="10">
        <v>45716</v>
      </c>
      <c r="D464" s="18" t="str">
        <f t="shared" si="21"/>
        <v>February</v>
      </c>
      <c r="E464" s="11" t="str">
        <f t="shared" si="22"/>
        <v>2025</v>
      </c>
      <c r="F464" t="s">
        <v>24</v>
      </c>
      <c r="G464" s="2">
        <v>52965</v>
      </c>
      <c r="H464" s="2">
        <v>21319</v>
      </c>
      <c r="I464" s="2">
        <v>616</v>
      </c>
      <c r="J464" s="2">
        <v>180</v>
      </c>
      <c r="K464" s="2">
        <v>147</v>
      </c>
      <c r="L464" s="5">
        <f t="shared" si="23"/>
        <v>4.423284394202355E-2</v>
      </c>
    </row>
    <row r="465" spans="1:12" x14ac:dyDescent="0.25">
      <c r="A465" t="s">
        <v>483</v>
      </c>
      <c r="B465" t="s">
        <v>17</v>
      </c>
      <c r="C465" s="10">
        <v>45490</v>
      </c>
      <c r="D465" s="18" t="str">
        <f t="shared" si="21"/>
        <v>July</v>
      </c>
      <c r="E465" s="11" t="str">
        <f t="shared" si="22"/>
        <v>2024</v>
      </c>
      <c r="F465" t="s">
        <v>18</v>
      </c>
      <c r="G465" s="2">
        <v>43511</v>
      </c>
      <c r="H465" s="2">
        <v>37194</v>
      </c>
      <c r="I465" s="2">
        <v>998</v>
      </c>
      <c r="J465" s="2">
        <v>135</v>
      </c>
      <c r="K465" s="2">
        <v>84</v>
      </c>
      <c r="L465" s="5">
        <f t="shared" si="23"/>
        <v>3.2720331236220895E-2</v>
      </c>
    </row>
    <row r="466" spans="1:12" x14ac:dyDescent="0.25">
      <c r="A466" t="s">
        <v>484</v>
      </c>
      <c r="B466" t="s">
        <v>20</v>
      </c>
      <c r="C466" s="10">
        <v>45914</v>
      </c>
      <c r="D466" s="18" t="str">
        <f t="shared" si="21"/>
        <v>September</v>
      </c>
      <c r="E466" s="11" t="str">
        <f t="shared" si="22"/>
        <v>2025</v>
      </c>
      <c r="F466" t="s">
        <v>24</v>
      </c>
      <c r="G466" s="2">
        <v>337983</v>
      </c>
      <c r="H466" s="2">
        <v>146786</v>
      </c>
      <c r="I466" s="2">
        <v>16597</v>
      </c>
      <c r="J466" s="2">
        <v>3627</v>
      </c>
      <c r="K466" s="2">
        <v>6567</v>
      </c>
      <c r="L466" s="5">
        <f t="shared" si="23"/>
        <v>0.18251740629215321</v>
      </c>
    </row>
    <row r="467" spans="1:12" x14ac:dyDescent="0.25">
      <c r="A467" t="s">
        <v>485</v>
      </c>
      <c r="B467" t="s">
        <v>20</v>
      </c>
      <c r="C467" s="10">
        <v>45339</v>
      </c>
      <c r="D467" s="18" t="str">
        <f t="shared" si="21"/>
        <v>February</v>
      </c>
      <c r="E467" s="11" t="str">
        <f t="shared" si="22"/>
        <v>2024</v>
      </c>
      <c r="F467" t="s">
        <v>24</v>
      </c>
      <c r="G467" s="2">
        <v>164695</v>
      </c>
      <c r="H467" s="2">
        <v>90796</v>
      </c>
      <c r="I467" s="2">
        <v>6004</v>
      </c>
      <c r="J467" s="2">
        <v>651</v>
      </c>
      <c r="K467" s="2">
        <v>3479</v>
      </c>
      <c r="L467" s="5">
        <f t="shared" si="23"/>
        <v>0.11161284638089784</v>
      </c>
    </row>
    <row r="468" spans="1:12" x14ac:dyDescent="0.25">
      <c r="A468" t="s">
        <v>486</v>
      </c>
      <c r="B468" t="s">
        <v>26</v>
      </c>
      <c r="C468" s="10">
        <v>45337</v>
      </c>
      <c r="D468" s="18" t="str">
        <f t="shared" si="21"/>
        <v>February</v>
      </c>
      <c r="E468" s="11" t="str">
        <f t="shared" si="22"/>
        <v>2024</v>
      </c>
      <c r="F468" t="s">
        <v>32</v>
      </c>
      <c r="G468" s="2">
        <v>16374</v>
      </c>
      <c r="H468" s="2">
        <v>12880</v>
      </c>
      <c r="I468" s="2">
        <v>274</v>
      </c>
      <c r="J468" s="2">
        <v>145</v>
      </c>
      <c r="K468" s="2">
        <v>63</v>
      </c>
      <c r="L468" s="5">
        <f t="shared" si="23"/>
        <v>3.7422360248447202E-2</v>
      </c>
    </row>
    <row r="469" spans="1:12" x14ac:dyDescent="0.25">
      <c r="A469" t="s">
        <v>487</v>
      </c>
      <c r="B469" t="s">
        <v>20</v>
      </c>
      <c r="C469" s="10">
        <v>45346</v>
      </c>
      <c r="D469" s="18" t="str">
        <f t="shared" si="21"/>
        <v>February</v>
      </c>
      <c r="E469" s="11" t="str">
        <f t="shared" si="22"/>
        <v>2024</v>
      </c>
      <c r="F469" t="s">
        <v>18</v>
      </c>
      <c r="G469" s="2">
        <v>459458</v>
      </c>
      <c r="H469" s="2">
        <v>319894</v>
      </c>
      <c r="I469" s="2">
        <v>38021</v>
      </c>
      <c r="J469" s="2">
        <v>7712</v>
      </c>
      <c r="K469" s="2">
        <v>11817</v>
      </c>
      <c r="L469" s="5">
        <f t="shared" si="23"/>
        <v>0.17990334298236291</v>
      </c>
    </row>
    <row r="470" spans="1:12" x14ac:dyDescent="0.25">
      <c r="A470" t="s">
        <v>488</v>
      </c>
      <c r="B470" t="s">
        <v>11</v>
      </c>
      <c r="C470" s="10">
        <v>45894</v>
      </c>
      <c r="D470" s="18" t="str">
        <f t="shared" si="21"/>
        <v>August</v>
      </c>
      <c r="E470" s="11" t="str">
        <f t="shared" si="22"/>
        <v>2025</v>
      </c>
      <c r="F470" t="s">
        <v>15</v>
      </c>
      <c r="G470" s="2">
        <v>16448</v>
      </c>
      <c r="H470" s="2">
        <v>7957</v>
      </c>
      <c r="I470" s="2">
        <v>185</v>
      </c>
      <c r="J470" s="2">
        <v>107</v>
      </c>
      <c r="K470" s="2">
        <v>133</v>
      </c>
      <c r="L470" s="5">
        <f t="shared" si="23"/>
        <v>5.3412089983662182E-2</v>
      </c>
    </row>
    <row r="471" spans="1:12" x14ac:dyDescent="0.25">
      <c r="A471" t="s">
        <v>489</v>
      </c>
      <c r="B471" t="s">
        <v>26</v>
      </c>
      <c r="C471" s="10">
        <v>45785</v>
      </c>
      <c r="D471" s="18" t="str">
        <f t="shared" si="21"/>
        <v>May</v>
      </c>
      <c r="E471" s="11" t="str">
        <f t="shared" si="22"/>
        <v>2025</v>
      </c>
      <c r="F471" t="s">
        <v>12</v>
      </c>
      <c r="G471" s="2">
        <v>7337</v>
      </c>
      <c r="H471" s="2">
        <v>5366</v>
      </c>
      <c r="I471" s="2">
        <v>81</v>
      </c>
      <c r="J471" s="2">
        <v>112</v>
      </c>
      <c r="K471" s="2">
        <v>59</v>
      </c>
      <c r="L471" s="5">
        <f t="shared" si="23"/>
        <v>4.6962355572120758E-2</v>
      </c>
    </row>
    <row r="472" spans="1:12" x14ac:dyDescent="0.25">
      <c r="A472" t="s">
        <v>490</v>
      </c>
      <c r="B472" t="s">
        <v>17</v>
      </c>
      <c r="C472" s="10">
        <v>45371</v>
      </c>
      <c r="D472" s="18" t="str">
        <f t="shared" si="21"/>
        <v>March</v>
      </c>
      <c r="E472" s="11" t="str">
        <f t="shared" si="22"/>
        <v>2024</v>
      </c>
      <c r="F472" t="s">
        <v>12</v>
      </c>
      <c r="G472" s="2">
        <v>18681</v>
      </c>
      <c r="H472" s="2">
        <v>13036</v>
      </c>
      <c r="I472" s="2">
        <v>151</v>
      </c>
      <c r="J472" s="2">
        <v>52</v>
      </c>
      <c r="K472" s="2">
        <v>160</v>
      </c>
      <c r="L472" s="5">
        <f t="shared" si="23"/>
        <v>2.7845965019944768E-2</v>
      </c>
    </row>
    <row r="473" spans="1:12" x14ac:dyDescent="0.25">
      <c r="A473" t="s">
        <v>491</v>
      </c>
      <c r="B473" t="s">
        <v>17</v>
      </c>
      <c r="C473" s="10">
        <v>45525</v>
      </c>
      <c r="D473" s="18" t="str">
        <f t="shared" si="21"/>
        <v>August</v>
      </c>
      <c r="E473" s="11" t="str">
        <f t="shared" si="22"/>
        <v>2024</v>
      </c>
      <c r="F473" t="s">
        <v>18</v>
      </c>
      <c r="G473" s="2">
        <v>37918</v>
      </c>
      <c r="H473" s="2">
        <v>24272</v>
      </c>
      <c r="I473" s="2">
        <v>469</v>
      </c>
      <c r="J473" s="2">
        <v>158</v>
      </c>
      <c r="K473" s="2">
        <v>465</v>
      </c>
      <c r="L473" s="5">
        <f t="shared" si="23"/>
        <v>4.4990112063282794E-2</v>
      </c>
    </row>
    <row r="474" spans="1:12" x14ac:dyDescent="0.25">
      <c r="A474" t="s">
        <v>492</v>
      </c>
      <c r="B474" t="s">
        <v>17</v>
      </c>
      <c r="C474" s="10">
        <v>45376</v>
      </c>
      <c r="D474" s="18" t="str">
        <f t="shared" si="21"/>
        <v>March</v>
      </c>
      <c r="E474" s="11" t="str">
        <f t="shared" si="22"/>
        <v>2024</v>
      </c>
      <c r="F474" t="s">
        <v>18</v>
      </c>
      <c r="G474" s="2">
        <v>31283</v>
      </c>
      <c r="H474" s="2">
        <v>21876</v>
      </c>
      <c r="I474" s="2">
        <v>129</v>
      </c>
      <c r="J474" s="2">
        <v>114</v>
      </c>
      <c r="K474" s="2">
        <v>253</v>
      </c>
      <c r="L474" s="5">
        <f t="shared" si="23"/>
        <v>2.2673249222892669E-2</v>
      </c>
    </row>
    <row r="475" spans="1:12" x14ac:dyDescent="0.25">
      <c r="A475" t="s">
        <v>493</v>
      </c>
      <c r="B475" t="s">
        <v>20</v>
      </c>
      <c r="C475" s="10">
        <v>45428</v>
      </c>
      <c r="D475" s="18" t="str">
        <f t="shared" si="21"/>
        <v>May</v>
      </c>
      <c r="E475" s="11" t="str">
        <f t="shared" si="22"/>
        <v>2024</v>
      </c>
      <c r="F475" t="s">
        <v>24</v>
      </c>
      <c r="G475" s="2">
        <v>339247</v>
      </c>
      <c r="H475" s="2">
        <v>113189</v>
      </c>
      <c r="I475" s="2">
        <v>7464</v>
      </c>
      <c r="J475" s="2">
        <v>3146</v>
      </c>
      <c r="K475" s="2">
        <v>4182</v>
      </c>
      <c r="L475" s="5">
        <f t="shared" si="23"/>
        <v>0.1306840770746274</v>
      </c>
    </row>
    <row r="476" spans="1:12" x14ac:dyDescent="0.25">
      <c r="A476" t="s">
        <v>494</v>
      </c>
      <c r="B476" t="s">
        <v>14</v>
      </c>
      <c r="C476" s="10">
        <v>45478</v>
      </c>
      <c r="D476" s="18" t="str">
        <f t="shared" si="21"/>
        <v>July</v>
      </c>
      <c r="E476" s="11" t="str">
        <f t="shared" si="22"/>
        <v>2024</v>
      </c>
      <c r="F476" t="s">
        <v>15</v>
      </c>
      <c r="G476" s="2">
        <v>8981</v>
      </c>
      <c r="H476" s="2">
        <v>3952</v>
      </c>
      <c r="I476" s="2">
        <v>155</v>
      </c>
      <c r="J476" s="2">
        <v>56</v>
      </c>
      <c r="K476" s="2">
        <v>27</v>
      </c>
      <c r="L476" s="5">
        <f t="shared" si="23"/>
        <v>6.0222672064777327E-2</v>
      </c>
    </row>
    <row r="477" spans="1:12" x14ac:dyDescent="0.25">
      <c r="A477" t="s">
        <v>495</v>
      </c>
      <c r="B477" t="s">
        <v>17</v>
      </c>
      <c r="C477" s="10">
        <v>45573</v>
      </c>
      <c r="D477" s="18" t="str">
        <f t="shared" si="21"/>
        <v>October</v>
      </c>
      <c r="E477" s="11" t="str">
        <f t="shared" si="22"/>
        <v>2024</v>
      </c>
      <c r="F477" t="s">
        <v>15</v>
      </c>
      <c r="G477" s="2">
        <v>21302</v>
      </c>
      <c r="H477" s="2">
        <v>13074</v>
      </c>
      <c r="I477" s="2">
        <v>295</v>
      </c>
      <c r="J477" s="2">
        <v>26</v>
      </c>
      <c r="K477" s="2">
        <v>71</v>
      </c>
      <c r="L477" s="5">
        <f t="shared" si="23"/>
        <v>2.9983172709193821E-2</v>
      </c>
    </row>
    <row r="478" spans="1:12" x14ac:dyDescent="0.25">
      <c r="A478" t="s">
        <v>496</v>
      </c>
      <c r="B478" t="s">
        <v>14</v>
      </c>
      <c r="C478" s="10">
        <v>45563</v>
      </c>
      <c r="D478" s="18" t="str">
        <f t="shared" si="21"/>
        <v>September</v>
      </c>
      <c r="E478" s="11" t="str">
        <f t="shared" si="22"/>
        <v>2024</v>
      </c>
      <c r="F478" t="s">
        <v>32</v>
      </c>
      <c r="G478" s="2">
        <v>69216</v>
      </c>
      <c r="H478" s="2">
        <v>42538</v>
      </c>
      <c r="I478" s="2">
        <v>1645</v>
      </c>
      <c r="J478" s="2">
        <v>611</v>
      </c>
      <c r="K478" s="2">
        <v>409</v>
      </c>
      <c r="L478" s="5">
        <f t="shared" si="23"/>
        <v>6.2649866002162768E-2</v>
      </c>
    </row>
    <row r="479" spans="1:12" x14ac:dyDescent="0.25">
      <c r="A479" t="s">
        <v>497</v>
      </c>
      <c r="B479" t="s">
        <v>14</v>
      </c>
      <c r="C479" s="10">
        <v>45674</v>
      </c>
      <c r="D479" s="18" t="str">
        <f t="shared" si="21"/>
        <v>January</v>
      </c>
      <c r="E479" s="11" t="str">
        <f t="shared" si="22"/>
        <v>2025</v>
      </c>
      <c r="F479" t="s">
        <v>24</v>
      </c>
      <c r="G479" s="2">
        <v>71167</v>
      </c>
      <c r="H479" s="2">
        <v>40636</v>
      </c>
      <c r="I479" s="2">
        <v>2428</v>
      </c>
      <c r="J479" s="2">
        <v>337</v>
      </c>
      <c r="K479" s="2">
        <v>81</v>
      </c>
      <c r="L479" s="5">
        <f t="shared" si="23"/>
        <v>7.0036420907569646E-2</v>
      </c>
    </row>
    <row r="480" spans="1:12" x14ac:dyDescent="0.25">
      <c r="A480" t="s">
        <v>498</v>
      </c>
      <c r="B480" t="s">
        <v>26</v>
      </c>
      <c r="C480" s="10">
        <v>45626</v>
      </c>
      <c r="D480" s="18" t="str">
        <f t="shared" si="21"/>
        <v>November</v>
      </c>
      <c r="E480" s="11" t="str">
        <f t="shared" si="22"/>
        <v>2024</v>
      </c>
      <c r="F480" t="s">
        <v>15</v>
      </c>
      <c r="G480" s="2">
        <v>4580</v>
      </c>
      <c r="H480" s="2">
        <v>2488</v>
      </c>
      <c r="I480" s="2">
        <v>77</v>
      </c>
      <c r="J480" s="2">
        <v>21</v>
      </c>
      <c r="K480" s="2">
        <v>30</v>
      </c>
      <c r="L480" s="5">
        <f t="shared" si="23"/>
        <v>5.1446945337620578E-2</v>
      </c>
    </row>
    <row r="481" spans="1:12" x14ac:dyDescent="0.25">
      <c r="A481" t="s">
        <v>499</v>
      </c>
      <c r="B481" t="s">
        <v>14</v>
      </c>
      <c r="C481" s="10">
        <v>45538</v>
      </c>
      <c r="D481" s="18" t="str">
        <f t="shared" si="21"/>
        <v>September</v>
      </c>
      <c r="E481" s="11" t="str">
        <f t="shared" si="22"/>
        <v>2024</v>
      </c>
      <c r="F481" t="s">
        <v>32</v>
      </c>
      <c r="G481" s="2">
        <v>25003</v>
      </c>
      <c r="H481" s="2">
        <v>12041</v>
      </c>
      <c r="I481" s="2">
        <v>780</v>
      </c>
      <c r="J481" s="2">
        <v>113</v>
      </c>
      <c r="K481" s="2">
        <v>55</v>
      </c>
      <c r="L481" s="5">
        <f t="shared" si="23"/>
        <v>7.8731002408437833E-2</v>
      </c>
    </row>
    <row r="482" spans="1:12" x14ac:dyDescent="0.25">
      <c r="A482" t="s">
        <v>500</v>
      </c>
      <c r="B482" t="s">
        <v>14</v>
      </c>
      <c r="C482" s="10">
        <v>45547</v>
      </c>
      <c r="D482" s="18" t="str">
        <f t="shared" si="21"/>
        <v>September</v>
      </c>
      <c r="E482" s="11" t="str">
        <f t="shared" si="22"/>
        <v>2024</v>
      </c>
      <c r="F482" t="s">
        <v>32</v>
      </c>
      <c r="G482" s="2">
        <v>69409</v>
      </c>
      <c r="H482" s="2">
        <v>29566</v>
      </c>
      <c r="I482" s="2">
        <v>1523</v>
      </c>
      <c r="J482" s="2">
        <v>290</v>
      </c>
      <c r="K482" s="2">
        <v>165</v>
      </c>
      <c r="L482" s="5">
        <f t="shared" si="23"/>
        <v>6.6901170263140089E-2</v>
      </c>
    </row>
    <row r="483" spans="1:12" x14ac:dyDescent="0.25">
      <c r="A483" t="s">
        <v>501</v>
      </c>
      <c r="B483" t="s">
        <v>14</v>
      </c>
      <c r="C483" s="10">
        <v>45966</v>
      </c>
      <c r="D483" s="18" t="str">
        <f t="shared" si="21"/>
        <v>November</v>
      </c>
      <c r="E483" s="11" t="str">
        <f t="shared" si="22"/>
        <v>2025</v>
      </c>
      <c r="F483" t="s">
        <v>24</v>
      </c>
      <c r="G483" s="2">
        <v>85888</v>
      </c>
      <c r="H483" s="2">
        <v>52026</v>
      </c>
      <c r="I483" s="2">
        <v>2347</v>
      </c>
      <c r="J483" s="2">
        <v>624</v>
      </c>
      <c r="K483" s="2">
        <v>135</v>
      </c>
      <c r="L483" s="5">
        <f t="shared" si="23"/>
        <v>5.9700918771383539E-2</v>
      </c>
    </row>
    <row r="484" spans="1:12" x14ac:dyDescent="0.25">
      <c r="A484" t="s">
        <v>502</v>
      </c>
      <c r="B484" t="s">
        <v>14</v>
      </c>
      <c r="C484" s="10">
        <v>46002</v>
      </c>
      <c r="D484" s="18" t="str">
        <f t="shared" si="21"/>
        <v>December</v>
      </c>
      <c r="E484" s="11" t="str">
        <f t="shared" si="22"/>
        <v>2025</v>
      </c>
      <c r="F484" t="s">
        <v>32</v>
      </c>
      <c r="G484" s="2">
        <v>60250</v>
      </c>
      <c r="H484" s="2">
        <v>31771</v>
      </c>
      <c r="I484" s="2">
        <v>1907</v>
      </c>
      <c r="J484" s="2">
        <v>219</v>
      </c>
      <c r="K484" s="2">
        <v>79</v>
      </c>
      <c r="L484" s="5">
        <f t="shared" si="23"/>
        <v>6.940291460766107E-2</v>
      </c>
    </row>
    <row r="485" spans="1:12" x14ac:dyDescent="0.25">
      <c r="A485" t="s">
        <v>503</v>
      </c>
      <c r="B485" t="s">
        <v>17</v>
      </c>
      <c r="C485" s="10">
        <v>45317</v>
      </c>
      <c r="D485" s="18" t="str">
        <f t="shared" si="21"/>
        <v>January</v>
      </c>
      <c r="E485" s="11" t="str">
        <f t="shared" si="22"/>
        <v>2024</v>
      </c>
      <c r="F485" t="s">
        <v>12</v>
      </c>
      <c r="G485" s="2">
        <v>11412</v>
      </c>
      <c r="H485" s="2">
        <v>7912</v>
      </c>
      <c r="I485" s="2">
        <v>117</v>
      </c>
      <c r="J485" s="2">
        <v>23</v>
      </c>
      <c r="K485" s="2">
        <v>153</v>
      </c>
      <c r="L485" s="5">
        <f t="shared" si="23"/>
        <v>3.7032355915065721E-2</v>
      </c>
    </row>
    <row r="486" spans="1:12" x14ac:dyDescent="0.25">
      <c r="A486" t="s">
        <v>504</v>
      </c>
      <c r="B486" t="s">
        <v>14</v>
      </c>
      <c r="C486" s="10">
        <v>45994</v>
      </c>
      <c r="D486" s="18" t="str">
        <f t="shared" si="21"/>
        <v>December</v>
      </c>
      <c r="E486" s="11" t="str">
        <f t="shared" si="22"/>
        <v>2025</v>
      </c>
      <c r="F486" t="s">
        <v>15</v>
      </c>
      <c r="G486" s="2">
        <v>8581</v>
      </c>
      <c r="H486" s="2">
        <v>5323</v>
      </c>
      <c r="I486" s="2">
        <v>190</v>
      </c>
      <c r="J486" s="2">
        <v>14</v>
      </c>
      <c r="K486" s="2">
        <v>9</v>
      </c>
      <c r="L486" s="5">
        <f t="shared" si="23"/>
        <v>4.0015029118917904E-2</v>
      </c>
    </row>
    <row r="487" spans="1:12" x14ac:dyDescent="0.25">
      <c r="A487" t="s">
        <v>505</v>
      </c>
      <c r="B487" t="s">
        <v>20</v>
      </c>
      <c r="C487" s="10">
        <v>45510</v>
      </c>
      <c r="D487" s="18" t="str">
        <f t="shared" si="21"/>
        <v>August</v>
      </c>
      <c r="E487" s="11" t="str">
        <f t="shared" si="22"/>
        <v>2024</v>
      </c>
      <c r="F487" t="s">
        <v>24</v>
      </c>
      <c r="G487" s="2">
        <v>87881</v>
      </c>
      <c r="H487" s="2">
        <v>60405</v>
      </c>
      <c r="I487" s="2">
        <v>4517</v>
      </c>
      <c r="J487" s="2">
        <v>667</v>
      </c>
      <c r="K487" s="2">
        <v>1550</v>
      </c>
      <c r="L487" s="5">
        <f t="shared" si="23"/>
        <v>0.11148083767900008</v>
      </c>
    </row>
    <row r="488" spans="1:12" x14ac:dyDescent="0.25">
      <c r="A488" t="s">
        <v>506</v>
      </c>
      <c r="B488" t="s">
        <v>26</v>
      </c>
      <c r="C488" s="10">
        <v>45568</v>
      </c>
      <c r="D488" s="18" t="str">
        <f t="shared" si="21"/>
        <v>October</v>
      </c>
      <c r="E488" s="11" t="str">
        <f t="shared" si="22"/>
        <v>2024</v>
      </c>
      <c r="F488" t="s">
        <v>18</v>
      </c>
      <c r="G488" s="2">
        <v>15417</v>
      </c>
      <c r="H488" s="2">
        <v>8696</v>
      </c>
      <c r="I488" s="2">
        <v>290</v>
      </c>
      <c r="J488" s="2">
        <v>111</v>
      </c>
      <c r="K488" s="2">
        <v>100</v>
      </c>
      <c r="L488" s="5">
        <f t="shared" si="23"/>
        <v>5.7612695492180316E-2</v>
      </c>
    </row>
    <row r="489" spans="1:12" x14ac:dyDescent="0.25">
      <c r="A489" t="s">
        <v>507</v>
      </c>
      <c r="B489" t="s">
        <v>20</v>
      </c>
      <c r="C489" s="10">
        <v>45564</v>
      </c>
      <c r="D489" s="18" t="str">
        <f t="shared" si="21"/>
        <v>September</v>
      </c>
      <c r="E489" s="11" t="str">
        <f t="shared" si="22"/>
        <v>2024</v>
      </c>
      <c r="F489" t="s">
        <v>24</v>
      </c>
      <c r="G489" s="2">
        <v>185847</v>
      </c>
      <c r="H489" s="2">
        <v>121043</v>
      </c>
      <c r="I489" s="2">
        <v>11183</v>
      </c>
      <c r="J489" s="2">
        <v>626</v>
      </c>
      <c r="K489" s="2">
        <v>3674</v>
      </c>
      <c r="L489" s="5">
        <f t="shared" si="23"/>
        <v>0.12791322092149071</v>
      </c>
    </row>
    <row r="490" spans="1:12" x14ac:dyDescent="0.25">
      <c r="A490" t="s">
        <v>508</v>
      </c>
      <c r="B490" t="s">
        <v>26</v>
      </c>
      <c r="C490" s="10">
        <v>45606</v>
      </c>
      <c r="D490" s="18" t="str">
        <f t="shared" si="21"/>
        <v>November</v>
      </c>
      <c r="E490" s="11" t="str">
        <f t="shared" si="22"/>
        <v>2024</v>
      </c>
      <c r="F490" t="s">
        <v>12</v>
      </c>
      <c r="G490" s="2">
        <v>10745</v>
      </c>
      <c r="H490" s="2">
        <v>5956</v>
      </c>
      <c r="I490" s="2">
        <v>195</v>
      </c>
      <c r="J490" s="2">
        <v>89</v>
      </c>
      <c r="K490" s="2">
        <v>28</v>
      </c>
      <c r="L490" s="5">
        <f t="shared" si="23"/>
        <v>5.2384150436534584E-2</v>
      </c>
    </row>
    <row r="491" spans="1:12" x14ac:dyDescent="0.25">
      <c r="A491" t="s">
        <v>509</v>
      </c>
      <c r="B491" t="s">
        <v>26</v>
      </c>
      <c r="C491" s="10">
        <v>45987</v>
      </c>
      <c r="D491" s="18" t="str">
        <f t="shared" si="21"/>
        <v>November</v>
      </c>
      <c r="E491" s="11" t="str">
        <f t="shared" si="22"/>
        <v>2025</v>
      </c>
      <c r="F491" t="s">
        <v>15</v>
      </c>
      <c r="G491" s="2">
        <v>6513</v>
      </c>
      <c r="H491" s="2">
        <v>3382</v>
      </c>
      <c r="I491" s="2">
        <v>114</v>
      </c>
      <c r="J491" s="2">
        <v>52</v>
      </c>
      <c r="K491" s="2">
        <v>33</v>
      </c>
      <c r="L491" s="5">
        <f t="shared" si="23"/>
        <v>5.8840922531046717E-2</v>
      </c>
    </row>
    <row r="492" spans="1:12" x14ac:dyDescent="0.25">
      <c r="A492" t="s">
        <v>510</v>
      </c>
      <c r="B492" t="s">
        <v>20</v>
      </c>
      <c r="C492" s="10">
        <v>45876</v>
      </c>
      <c r="D492" s="18" t="str">
        <f t="shared" si="21"/>
        <v>August</v>
      </c>
      <c r="E492" s="11" t="str">
        <f t="shared" si="22"/>
        <v>2025</v>
      </c>
      <c r="F492" t="s">
        <v>24</v>
      </c>
      <c r="G492" s="2">
        <v>440564</v>
      </c>
      <c r="H492" s="2">
        <v>270609</v>
      </c>
      <c r="I492" s="2">
        <v>17877</v>
      </c>
      <c r="J492" s="2">
        <v>4340</v>
      </c>
      <c r="K492" s="2">
        <v>7584</v>
      </c>
      <c r="L492" s="5">
        <f t="shared" si="23"/>
        <v>0.11012567948590032</v>
      </c>
    </row>
    <row r="493" spans="1:12" x14ac:dyDescent="0.25">
      <c r="A493" t="s">
        <v>511</v>
      </c>
      <c r="B493" t="s">
        <v>20</v>
      </c>
      <c r="C493" s="10">
        <v>45442</v>
      </c>
      <c r="D493" s="18" t="str">
        <f t="shared" si="21"/>
        <v>May</v>
      </c>
      <c r="E493" s="11" t="str">
        <f t="shared" si="22"/>
        <v>2024</v>
      </c>
      <c r="F493" t="s">
        <v>18</v>
      </c>
      <c r="G493" s="2">
        <v>322006</v>
      </c>
      <c r="H493" s="2">
        <v>167484</v>
      </c>
      <c r="I493" s="2">
        <v>9198</v>
      </c>
      <c r="J493" s="2">
        <v>4109</v>
      </c>
      <c r="K493" s="2">
        <v>6734</v>
      </c>
      <c r="L493" s="5">
        <f t="shared" si="23"/>
        <v>0.11965919132573857</v>
      </c>
    </row>
    <row r="494" spans="1:12" x14ac:dyDescent="0.25">
      <c r="A494" t="s">
        <v>512</v>
      </c>
      <c r="B494" t="s">
        <v>17</v>
      </c>
      <c r="C494" s="10">
        <v>45750</v>
      </c>
      <c r="D494" s="18" t="str">
        <f t="shared" si="21"/>
        <v>April</v>
      </c>
      <c r="E494" s="11" t="str">
        <f t="shared" si="22"/>
        <v>2025</v>
      </c>
      <c r="F494" t="s">
        <v>15</v>
      </c>
      <c r="G494" s="2">
        <v>10767</v>
      </c>
      <c r="H494" s="2">
        <v>6348</v>
      </c>
      <c r="I494" s="2">
        <v>127</v>
      </c>
      <c r="J494" s="2">
        <v>7</v>
      </c>
      <c r="K494" s="2">
        <v>93</v>
      </c>
      <c r="L494" s="5">
        <f t="shared" si="23"/>
        <v>3.575929426591052E-2</v>
      </c>
    </row>
    <row r="495" spans="1:12" x14ac:dyDescent="0.25">
      <c r="A495" t="s">
        <v>513</v>
      </c>
      <c r="B495" t="s">
        <v>11</v>
      </c>
      <c r="C495" s="10">
        <v>45811</v>
      </c>
      <c r="D495" s="18" t="str">
        <f t="shared" si="21"/>
        <v>June</v>
      </c>
      <c r="E495" s="11" t="str">
        <f t="shared" si="22"/>
        <v>2025</v>
      </c>
      <c r="F495" t="s">
        <v>18</v>
      </c>
      <c r="G495" s="2">
        <v>36770</v>
      </c>
      <c r="H495" s="2">
        <v>17441</v>
      </c>
      <c r="I495" s="2">
        <v>330</v>
      </c>
      <c r="J495" s="2">
        <v>230</v>
      </c>
      <c r="K495" s="2">
        <v>269</v>
      </c>
      <c r="L495" s="5">
        <f t="shared" si="23"/>
        <v>4.753167822945932E-2</v>
      </c>
    </row>
    <row r="496" spans="1:12" x14ac:dyDescent="0.25">
      <c r="A496" t="s">
        <v>514</v>
      </c>
      <c r="B496" t="s">
        <v>20</v>
      </c>
      <c r="C496" s="10">
        <v>45365</v>
      </c>
      <c r="D496" s="18" t="str">
        <f t="shared" si="21"/>
        <v>March</v>
      </c>
      <c r="E496" s="11" t="str">
        <f t="shared" si="22"/>
        <v>2024</v>
      </c>
      <c r="F496" t="s">
        <v>18</v>
      </c>
      <c r="G496" s="2">
        <v>38055</v>
      </c>
      <c r="H496" s="2">
        <v>20035</v>
      </c>
      <c r="I496" s="2">
        <v>1623</v>
      </c>
      <c r="J496" s="2">
        <v>390</v>
      </c>
      <c r="K496" s="2">
        <v>207</v>
      </c>
      <c r="L496" s="5">
        <f t="shared" si="23"/>
        <v>0.11080608934364862</v>
      </c>
    </row>
    <row r="497" spans="1:12" x14ac:dyDescent="0.25">
      <c r="A497" t="s">
        <v>515</v>
      </c>
      <c r="B497" t="s">
        <v>14</v>
      </c>
      <c r="C497" s="10">
        <v>45580</v>
      </c>
      <c r="D497" s="18" t="str">
        <f t="shared" si="21"/>
        <v>October</v>
      </c>
      <c r="E497" s="11" t="str">
        <f t="shared" si="22"/>
        <v>2024</v>
      </c>
      <c r="F497" t="s">
        <v>32</v>
      </c>
      <c r="G497" s="2">
        <v>51958</v>
      </c>
      <c r="H497" s="2">
        <v>30967</v>
      </c>
      <c r="I497" s="2">
        <v>878</v>
      </c>
      <c r="J497" s="2">
        <v>85</v>
      </c>
      <c r="K497" s="2">
        <v>54</v>
      </c>
      <c r="L497" s="5">
        <f t="shared" si="23"/>
        <v>3.2841411825491655E-2</v>
      </c>
    </row>
    <row r="498" spans="1:12" x14ac:dyDescent="0.25">
      <c r="A498" t="s">
        <v>516</v>
      </c>
      <c r="B498" t="s">
        <v>14</v>
      </c>
      <c r="C498" s="10">
        <v>45731</v>
      </c>
      <c r="D498" s="18" t="str">
        <f t="shared" si="21"/>
        <v>March</v>
      </c>
      <c r="E498" s="11" t="str">
        <f t="shared" si="22"/>
        <v>2025</v>
      </c>
      <c r="F498" t="s">
        <v>18</v>
      </c>
      <c r="G498" s="2">
        <v>36746</v>
      </c>
      <c r="H498" s="2">
        <v>20529</v>
      </c>
      <c r="I498" s="2">
        <v>1452</v>
      </c>
      <c r="J498" s="2">
        <v>156</v>
      </c>
      <c r="K498" s="2">
        <v>124</v>
      </c>
      <c r="L498" s="5">
        <f t="shared" si="23"/>
        <v>8.4368454381606506E-2</v>
      </c>
    </row>
    <row r="499" spans="1:12" x14ac:dyDescent="0.25">
      <c r="A499" t="s">
        <v>517</v>
      </c>
      <c r="B499" t="s">
        <v>17</v>
      </c>
      <c r="C499" s="10">
        <v>45732</v>
      </c>
      <c r="D499" s="18" t="str">
        <f t="shared" si="21"/>
        <v>March</v>
      </c>
      <c r="E499" s="11" t="str">
        <f t="shared" si="22"/>
        <v>2025</v>
      </c>
      <c r="F499" t="s">
        <v>18</v>
      </c>
      <c r="G499" s="2">
        <v>12875</v>
      </c>
      <c r="H499" s="2">
        <v>7526</v>
      </c>
      <c r="I499" s="2">
        <v>69</v>
      </c>
      <c r="J499" s="2">
        <v>19</v>
      </c>
      <c r="K499" s="2">
        <v>40</v>
      </c>
      <c r="L499" s="5">
        <f t="shared" si="23"/>
        <v>1.7007706617060855E-2</v>
      </c>
    </row>
    <row r="500" spans="1:12" x14ac:dyDescent="0.25">
      <c r="A500" t="s">
        <v>518</v>
      </c>
      <c r="B500" t="s">
        <v>11</v>
      </c>
      <c r="C500" s="10">
        <v>45561</v>
      </c>
      <c r="D500" s="18" t="str">
        <f t="shared" si="21"/>
        <v>September</v>
      </c>
      <c r="E500" s="11" t="str">
        <f t="shared" si="22"/>
        <v>2024</v>
      </c>
      <c r="F500" t="s">
        <v>18</v>
      </c>
      <c r="G500" s="2">
        <v>29909</v>
      </c>
      <c r="H500" s="2">
        <v>10936</v>
      </c>
      <c r="I500" s="2">
        <v>270</v>
      </c>
      <c r="J500" s="2">
        <v>106</v>
      </c>
      <c r="K500" s="2">
        <v>175</v>
      </c>
      <c r="L500" s="5">
        <f t="shared" si="23"/>
        <v>5.0384052670080469E-2</v>
      </c>
    </row>
    <row r="501" spans="1:12" x14ac:dyDescent="0.25">
      <c r="A501" t="s">
        <v>519</v>
      </c>
      <c r="B501" t="s">
        <v>20</v>
      </c>
      <c r="C501" s="10">
        <v>45332</v>
      </c>
      <c r="D501" s="18" t="str">
        <f t="shared" si="21"/>
        <v>February</v>
      </c>
      <c r="E501" s="11" t="str">
        <f t="shared" si="22"/>
        <v>2024</v>
      </c>
      <c r="F501" t="s">
        <v>24</v>
      </c>
      <c r="G501" s="2">
        <v>41256</v>
      </c>
      <c r="H501" s="2">
        <v>26399</v>
      </c>
      <c r="I501" s="2">
        <v>2930</v>
      </c>
      <c r="J501" s="2">
        <v>619</v>
      </c>
      <c r="K501" s="2">
        <v>480</v>
      </c>
      <c r="L501" s="5">
        <f t="shared" si="23"/>
        <v>0.15261941740217433</v>
      </c>
    </row>
    <row r="502" spans="1:12" x14ac:dyDescent="0.25">
      <c r="A502" t="s">
        <v>520</v>
      </c>
      <c r="B502" t="s">
        <v>26</v>
      </c>
      <c r="C502" s="10">
        <v>45733</v>
      </c>
      <c r="D502" s="18" t="str">
        <f t="shared" si="21"/>
        <v>March</v>
      </c>
      <c r="E502" s="11" t="str">
        <f t="shared" si="22"/>
        <v>2025</v>
      </c>
      <c r="F502" t="s">
        <v>32</v>
      </c>
      <c r="G502" s="2">
        <v>9610</v>
      </c>
      <c r="H502" s="2">
        <v>7236</v>
      </c>
      <c r="I502" s="2">
        <v>115</v>
      </c>
      <c r="J502" s="2">
        <v>116</v>
      </c>
      <c r="K502" s="2">
        <v>68</v>
      </c>
      <c r="L502" s="5">
        <f t="shared" si="23"/>
        <v>4.1321171918186843E-2</v>
      </c>
    </row>
    <row r="503" spans="1:12" x14ac:dyDescent="0.25">
      <c r="A503" t="s">
        <v>521</v>
      </c>
      <c r="B503" t="s">
        <v>17</v>
      </c>
      <c r="C503" s="10">
        <v>45667</v>
      </c>
      <c r="D503" s="18" t="str">
        <f t="shared" si="21"/>
        <v>January</v>
      </c>
      <c r="E503" s="11" t="str">
        <f t="shared" si="22"/>
        <v>2025</v>
      </c>
      <c r="F503" t="s">
        <v>15</v>
      </c>
      <c r="G503" s="2">
        <v>3755</v>
      </c>
      <c r="H503" s="2">
        <v>2372</v>
      </c>
      <c r="I503" s="2">
        <v>62</v>
      </c>
      <c r="J503" s="2">
        <v>6</v>
      </c>
      <c r="K503" s="2">
        <v>5</v>
      </c>
      <c r="L503" s="5">
        <f t="shared" si="23"/>
        <v>3.0775716694772345E-2</v>
      </c>
    </row>
    <row r="504" spans="1:12" x14ac:dyDescent="0.25">
      <c r="A504" t="s">
        <v>522</v>
      </c>
      <c r="B504" t="s">
        <v>26</v>
      </c>
      <c r="C504" s="10">
        <v>45765</v>
      </c>
      <c r="D504" s="18" t="str">
        <f t="shared" si="21"/>
        <v>April</v>
      </c>
      <c r="E504" s="11" t="str">
        <f t="shared" si="22"/>
        <v>2025</v>
      </c>
      <c r="F504" t="s">
        <v>18</v>
      </c>
      <c r="G504" s="2">
        <v>38598</v>
      </c>
      <c r="H504" s="2">
        <v>19145</v>
      </c>
      <c r="I504" s="2">
        <v>389</v>
      </c>
      <c r="J504" s="2">
        <v>219</v>
      </c>
      <c r="K504" s="2">
        <v>243</v>
      </c>
      <c r="L504" s="5">
        <f t="shared" si="23"/>
        <v>4.4450248106555235E-2</v>
      </c>
    </row>
    <row r="505" spans="1:12" x14ac:dyDescent="0.25">
      <c r="A505" t="s">
        <v>523</v>
      </c>
      <c r="B505" t="s">
        <v>26</v>
      </c>
      <c r="C505" s="10">
        <v>45705</v>
      </c>
      <c r="D505" s="18" t="str">
        <f t="shared" si="21"/>
        <v>February</v>
      </c>
      <c r="E505" s="11" t="str">
        <f t="shared" si="22"/>
        <v>2025</v>
      </c>
      <c r="F505" t="s">
        <v>15</v>
      </c>
      <c r="G505" s="2">
        <v>10726</v>
      </c>
      <c r="H505" s="2">
        <v>6896</v>
      </c>
      <c r="I505" s="2">
        <v>193</v>
      </c>
      <c r="J505" s="2">
        <v>102</v>
      </c>
      <c r="K505" s="2">
        <v>93</v>
      </c>
      <c r="L505" s="5">
        <f t="shared" si="23"/>
        <v>5.6264501160092809E-2</v>
      </c>
    </row>
    <row r="506" spans="1:12" x14ac:dyDescent="0.25">
      <c r="A506" t="s">
        <v>524</v>
      </c>
      <c r="B506" t="s">
        <v>11</v>
      </c>
      <c r="C506" s="10">
        <v>45793</v>
      </c>
      <c r="D506" s="18" t="str">
        <f t="shared" si="21"/>
        <v>May</v>
      </c>
      <c r="E506" s="11" t="str">
        <f t="shared" si="22"/>
        <v>2025</v>
      </c>
      <c r="F506" t="s">
        <v>32</v>
      </c>
      <c r="G506" s="2">
        <v>37289</v>
      </c>
      <c r="H506" s="2">
        <v>16958</v>
      </c>
      <c r="I506" s="2">
        <v>800</v>
      </c>
      <c r="J506" s="2">
        <v>75</v>
      </c>
      <c r="K506" s="2">
        <v>162</v>
      </c>
      <c r="L506" s="5">
        <f t="shared" si="23"/>
        <v>6.1151079136690649E-2</v>
      </c>
    </row>
    <row r="507" spans="1:12" x14ac:dyDescent="0.25">
      <c r="A507" t="s">
        <v>525</v>
      </c>
      <c r="B507" t="s">
        <v>26</v>
      </c>
      <c r="C507" s="10">
        <v>45480</v>
      </c>
      <c r="D507" s="18" t="str">
        <f t="shared" si="21"/>
        <v>July</v>
      </c>
      <c r="E507" s="11" t="str">
        <f t="shared" si="22"/>
        <v>2024</v>
      </c>
      <c r="F507" t="s">
        <v>18</v>
      </c>
      <c r="G507" s="2">
        <v>20670</v>
      </c>
      <c r="H507" s="2">
        <v>15492</v>
      </c>
      <c r="I507" s="2">
        <v>592</v>
      </c>
      <c r="J507" s="2">
        <v>292</v>
      </c>
      <c r="K507" s="2">
        <v>224</v>
      </c>
      <c r="L507" s="5">
        <f t="shared" si="23"/>
        <v>7.1520784921249678E-2</v>
      </c>
    </row>
    <row r="508" spans="1:12" x14ac:dyDescent="0.25">
      <c r="A508" t="s">
        <v>526</v>
      </c>
      <c r="B508" t="s">
        <v>11</v>
      </c>
      <c r="C508" s="10">
        <v>45605</v>
      </c>
      <c r="D508" s="18" t="str">
        <f t="shared" si="21"/>
        <v>November</v>
      </c>
      <c r="E508" s="11" t="str">
        <f t="shared" si="22"/>
        <v>2024</v>
      </c>
      <c r="F508" t="s">
        <v>18</v>
      </c>
      <c r="G508" s="2">
        <v>30297</v>
      </c>
      <c r="H508" s="2">
        <v>12985</v>
      </c>
      <c r="I508" s="2">
        <v>141</v>
      </c>
      <c r="J508" s="2">
        <v>45</v>
      </c>
      <c r="K508" s="2">
        <v>217</v>
      </c>
      <c r="L508" s="5">
        <f t="shared" si="23"/>
        <v>3.1035810550635347E-2</v>
      </c>
    </row>
    <row r="509" spans="1:12" x14ac:dyDescent="0.25">
      <c r="A509" t="s">
        <v>527</v>
      </c>
      <c r="B509" t="s">
        <v>14</v>
      </c>
      <c r="C509" s="10">
        <v>45912</v>
      </c>
      <c r="D509" s="18" t="str">
        <f t="shared" si="21"/>
        <v>September</v>
      </c>
      <c r="E509" s="11" t="str">
        <f t="shared" si="22"/>
        <v>2025</v>
      </c>
      <c r="F509" t="s">
        <v>32</v>
      </c>
      <c r="G509" s="2">
        <v>34183</v>
      </c>
      <c r="H509" s="2">
        <v>19575</v>
      </c>
      <c r="I509" s="2">
        <v>1510</v>
      </c>
      <c r="J509" s="2">
        <v>101</v>
      </c>
      <c r="K509" s="2">
        <v>112</v>
      </c>
      <c r="L509" s="5">
        <f t="shared" si="23"/>
        <v>8.8020434227330774E-2</v>
      </c>
    </row>
    <row r="510" spans="1:12" x14ac:dyDescent="0.25">
      <c r="A510" t="s">
        <v>528</v>
      </c>
      <c r="B510" t="s">
        <v>14</v>
      </c>
      <c r="C510" s="10">
        <v>46019</v>
      </c>
      <c r="D510" s="18" t="str">
        <f t="shared" si="21"/>
        <v>December</v>
      </c>
      <c r="E510" s="11" t="str">
        <f t="shared" si="22"/>
        <v>2025</v>
      </c>
      <c r="F510" t="s">
        <v>15</v>
      </c>
      <c r="G510" s="2">
        <v>44261</v>
      </c>
      <c r="H510" s="2">
        <v>21082</v>
      </c>
      <c r="I510" s="2">
        <v>1483</v>
      </c>
      <c r="J510" s="2">
        <v>251</v>
      </c>
      <c r="K510" s="2">
        <v>161</v>
      </c>
      <c r="L510" s="5">
        <f t="shared" si="23"/>
        <v>8.9887107485058348E-2</v>
      </c>
    </row>
    <row r="511" spans="1:12" x14ac:dyDescent="0.25">
      <c r="A511" t="s">
        <v>529</v>
      </c>
      <c r="B511" t="s">
        <v>11</v>
      </c>
      <c r="C511" s="10">
        <v>45926</v>
      </c>
      <c r="D511" s="18" t="str">
        <f t="shared" si="21"/>
        <v>September</v>
      </c>
      <c r="E511" s="11" t="str">
        <f t="shared" si="22"/>
        <v>2025</v>
      </c>
      <c r="F511" t="s">
        <v>18</v>
      </c>
      <c r="G511" s="2">
        <v>57188</v>
      </c>
      <c r="H511" s="2">
        <v>26556</v>
      </c>
      <c r="I511" s="2">
        <v>923</v>
      </c>
      <c r="J511" s="2">
        <v>355</v>
      </c>
      <c r="K511" s="2">
        <v>613</v>
      </c>
      <c r="L511" s="5">
        <f t="shared" si="23"/>
        <v>7.1208013255008279E-2</v>
      </c>
    </row>
    <row r="512" spans="1:12" x14ac:dyDescent="0.25">
      <c r="A512" t="s">
        <v>530</v>
      </c>
      <c r="B512" t="s">
        <v>14</v>
      </c>
      <c r="C512" s="10">
        <v>45820</v>
      </c>
      <c r="D512" s="18" t="str">
        <f t="shared" si="21"/>
        <v>June</v>
      </c>
      <c r="E512" s="11" t="str">
        <f t="shared" si="22"/>
        <v>2025</v>
      </c>
      <c r="F512" t="s">
        <v>15</v>
      </c>
      <c r="G512" s="2">
        <v>18096</v>
      </c>
      <c r="H512" s="2">
        <v>11803</v>
      </c>
      <c r="I512" s="2">
        <v>328</v>
      </c>
      <c r="J512" s="2">
        <v>41</v>
      </c>
      <c r="K512" s="2">
        <v>25</v>
      </c>
      <c r="L512" s="5">
        <f t="shared" si="23"/>
        <v>3.3381343726171311E-2</v>
      </c>
    </row>
    <row r="513" spans="1:12" x14ac:dyDescent="0.25">
      <c r="A513" t="s">
        <v>531</v>
      </c>
      <c r="B513" t="s">
        <v>17</v>
      </c>
      <c r="C513" s="10">
        <v>45761</v>
      </c>
      <c r="D513" s="18" t="str">
        <f t="shared" si="21"/>
        <v>April</v>
      </c>
      <c r="E513" s="11" t="str">
        <f t="shared" si="22"/>
        <v>2025</v>
      </c>
      <c r="F513" t="s">
        <v>18</v>
      </c>
      <c r="G513" s="2">
        <v>24711</v>
      </c>
      <c r="H513" s="2">
        <v>15214</v>
      </c>
      <c r="I513" s="2">
        <v>386</v>
      </c>
      <c r="J513" s="2">
        <v>35</v>
      </c>
      <c r="K513" s="2">
        <v>158</v>
      </c>
      <c r="L513" s="5">
        <f t="shared" si="23"/>
        <v>3.8057052714604966E-2</v>
      </c>
    </row>
    <row r="514" spans="1:12" x14ac:dyDescent="0.25">
      <c r="A514" t="s">
        <v>532</v>
      </c>
      <c r="B514" t="s">
        <v>17</v>
      </c>
      <c r="C514" s="10">
        <v>45773</v>
      </c>
      <c r="D514" s="18" t="str">
        <f t="shared" si="21"/>
        <v>April</v>
      </c>
      <c r="E514" s="11" t="str">
        <f t="shared" si="22"/>
        <v>2025</v>
      </c>
      <c r="F514" t="s">
        <v>12</v>
      </c>
      <c r="G514" s="2">
        <v>6773</v>
      </c>
      <c r="H514" s="2">
        <v>4868</v>
      </c>
      <c r="I514" s="2">
        <v>133</v>
      </c>
      <c r="J514" s="2">
        <v>13</v>
      </c>
      <c r="K514" s="2">
        <v>28</v>
      </c>
      <c r="L514" s="5">
        <f t="shared" si="23"/>
        <v>3.5743631881676251E-2</v>
      </c>
    </row>
    <row r="515" spans="1:12" x14ac:dyDescent="0.25">
      <c r="A515" t="s">
        <v>533</v>
      </c>
      <c r="B515" t="s">
        <v>14</v>
      </c>
      <c r="C515" s="10">
        <v>45360</v>
      </c>
      <c r="D515" s="18" t="str">
        <f t="shared" ref="D515:D578" si="24">TEXT($C515,"MMMM")</f>
        <v>March</v>
      </c>
      <c r="E515" s="11" t="str">
        <f t="shared" ref="E515:E578" si="25">TEXT(C515,"yyyy")</f>
        <v>2024</v>
      </c>
      <c r="F515" t="s">
        <v>15</v>
      </c>
      <c r="G515" s="2">
        <v>16541</v>
      </c>
      <c r="H515" s="2">
        <v>9250</v>
      </c>
      <c r="I515" s="2">
        <v>646</v>
      </c>
      <c r="J515" s="2">
        <v>112</v>
      </c>
      <c r="K515" s="2">
        <v>57</v>
      </c>
      <c r="L515" s="5">
        <f t="shared" ref="L515:L578" si="26">SUM(I515:K515)/H515</f>
        <v>8.810810810810811E-2</v>
      </c>
    </row>
    <row r="516" spans="1:12" x14ac:dyDescent="0.25">
      <c r="A516" t="s">
        <v>534</v>
      </c>
      <c r="B516" t="s">
        <v>20</v>
      </c>
      <c r="C516" s="10">
        <v>45660</v>
      </c>
      <c r="D516" s="18" t="str">
        <f t="shared" si="24"/>
        <v>January</v>
      </c>
      <c r="E516" s="11" t="str">
        <f t="shared" si="25"/>
        <v>2025</v>
      </c>
      <c r="F516" t="s">
        <v>18</v>
      </c>
      <c r="G516" s="2">
        <v>237159</v>
      </c>
      <c r="H516" s="2">
        <v>128305</v>
      </c>
      <c r="I516" s="2">
        <v>14732</v>
      </c>
      <c r="J516" s="2">
        <v>2455</v>
      </c>
      <c r="K516" s="2">
        <v>2936</v>
      </c>
      <c r="L516" s="5">
        <f t="shared" si="26"/>
        <v>0.15683722380265772</v>
      </c>
    </row>
    <row r="517" spans="1:12" x14ac:dyDescent="0.25">
      <c r="A517" t="s">
        <v>535</v>
      </c>
      <c r="B517" t="s">
        <v>14</v>
      </c>
      <c r="C517" s="10">
        <v>45732</v>
      </c>
      <c r="D517" s="18" t="str">
        <f t="shared" si="24"/>
        <v>March</v>
      </c>
      <c r="E517" s="11" t="str">
        <f t="shared" si="25"/>
        <v>2025</v>
      </c>
      <c r="F517" t="s">
        <v>15</v>
      </c>
      <c r="G517" s="2">
        <v>14887</v>
      </c>
      <c r="H517" s="2">
        <v>8575</v>
      </c>
      <c r="I517" s="2">
        <v>514</v>
      </c>
      <c r="J517" s="2">
        <v>33</v>
      </c>
      <c r="K517" s="2">
        <v>64</v>
      </c>
      <c r="L517" s="5">
        <f t="shared" si="26"/>
        <v>7.1253644314868803E-2</v>
      </c>
    </row>
    <row r="518" spans="1:12" x14ac:dyDescent="0.25">
      <c r="A518" t="s">
        <v>536</v>
      </c>
      <c r="B518" t="s">
        <v>14</v>
      </c>
      <c r="C518" s="10">
        <v>45305</v>
      </c>
      <c r="D518" s="18" t="str">
        <f t="shared" si="24"/>
        <v>January</v>
      </c>
      <c r="E518" s="11" t="str">
        <f t="shared" si="25"/>
        <v>2024</v>
      </c>
      <c r="F518" t="s">
        <v>32</v>
      </c>
      <c r="G518" s="2">
        <v>11666</v>
      </c>
      <c r="H518" s="2">
        <v>8813</v>
      </c>
      <c r="I518" s="2">
        <v>694</v>
      </c>
      <c r="J518" s="2">
        <v>84</v>
      </c>
      <c r="K518" s="2">
        <v>32</v>
      </c>
      <c r="L518" s="5">
        <f t="shared" si="26"/>
        <v>9.1909678883467599E-2</v>
      </c>
    </row>
    <row r="519" spans="1:12" x14ac:dyDescent="0.25">
      <c r="A519" t="s">
        <v>537</v>
      </c>
      <c r="B519" t="s">
        <v>14</v>
      </c>
      <c r="C519" s="10">
        <v>45318</v>
      </c>
      <c r="D519" s="18" t="str">
        <f t="shared" si="24"/>
        <v>January</v>
      </c>
      <c r="E519" s="11" t="str">
        <f t="shared" si="25"/>
        <v>2024</v>
      </c>
      <c r="F519" t="s">
        <v>18</v>
      </c>
      <c r="G519" s="2">
        <v>14544</v>
      </c>
      <c r="H519" s="2">
        <v>7587</v>
      </c>
      <c r="I519" s="2">
        <v>486</v>
      </c>
      <c r="J519" s="2">
        <v>111</v>
      </c>
      <c r="K519" s="2">
        <v>57</v>
      </c>
      <c r="L519" s="5">
        <f t="shared" si="26"/>
        <v>8.6200079082641365E-2</v>
      </c>
    </row>
    <row r="520" spans="1:12" x14ac:dyDescent="0.25">
      <c r="A520" t="s">
        <v>538</v>
      </c>
      <c r="B520" t="s">
        <v>11</v>
      </c>
      <c r="C520" s="10">
        <v>45741</v>
      </c>
      <c r="D520" s="18" t="str">
        <f t="shared" si="24"/>
        <v>March</v>
      </c>
      <c r="E520" s="11" t="str">
        <f t="shared" si="25"/>
        <v>2025</v>
      </c>
      <c r="F520" t="s">
        <v>18</v>
      </c>
      <c r="G520" s="2">
        <v>58879</v>
      </c>
      <c r="H520" s="2">
        <v>23183</v>
      </c>
      <c r="I520" s="2">
        <v>884</v>
      </c>
      <c r="J520" s="2">
        <v>413</v>
      </c>
      <c r="K520" s="2">
        <v>186</v>
      </c>
      <c r="L520" s="5">
        <f t="shared" si="26"/>
        <v>6.3969287840227748E-2</v>
      </c>
    </row>
    <row r="521" spans="1:12" x14ac:dyDescent="0.25">
      <c r="A521" t="s">
        <v>539</v>
      </c>
      <c r="B521" t="s">
        <v>26</v>
      </c>
      <c r="C521" s="10">
        <v>45633</v>
      </c>
      <c r="D521" s="18" t="str">
        <f t="shared" si="24"/>
        <v>December</v>
      </c>
      <c r="E521" s="11" t="str">
        <f t="shared" si="25"/>
        <v>2024</v>
      </c>
      <c r="F521" t="s">
        <v>12</v>
      </c>
      <c r="G521" s="2">
        <v>12952</v>
      </c>
      <c r="H521" s="2">
        <v>9872</v>
      </c>
      <c r="I521" s="2">
        <v>429</v>
      </c>
      <c r="J521" s="2">
        <v>183</v>
      </c>
      <c r="K521" s="2">
        <v>32</v>
      </c>
      <c r="L521" s="5">
        <f t="shared" si="26"/>
        <v>6.5235008103727718E-2</v>
      </c>
    </row>
    <row r="522" spans="1:12" x14ac:dyDescent="0.25">
      <c r="A522" t="s">
        <v>540</v>
      </c>
      <c r="B522" t="s">
        <v>14</v>
      </c>
      <c r="C522" s="10">
        <v>45915</v>
      </c>
      <c r="D522" s="18" t="str">
        <f t="shared" si="24"/>
        <v>September</v>
      </c>
      <c r="E522" s="11" t="str">
        <f t="shared" si="25"/>
        <v>2025</v>
      </c>
      <c r="F522" t="s">
        <v>32</v>
      </c>
      <c r="G522" s="2">
        <v>58263</v>
      </c>
      <c r="H522" s="2">
        <v>25374</v>
      </c>
      <c r="I522" s="2">
        <v>811</v>
      </c>
      <c r="J522" s="2">
        <v>348</v>
      </c>
      <c r="K522" s="2">
        <v>67</v>
      </c>
      <c r="L522" s="5">
        <f t="shared" si="26"/>
        <v>4.8317175061086154E-2</v>
      </c>
    </row>
    <row r="523" spans="1:12" x14ac:dyDescent="0.25">
      <c r="A523" t="s">
        <v>541</v>
      </c>
      <c r="B523" t="s">
        <v>14</v>
      </c>
      <c r="C523" s="10">
        <v>45947</v>
      </c>
      <c r="D523" s="18" t="str">
        <f t="shared" si="24"/>
        <v>October</v>
      </c>
      <c r="E523" s="11" t="str">
        <f t="shared" si="25"/>
        <v>2025</v>
      </c>
      <c r="F523" t="s">
        <v>18</v>
      </c>
      <c r="G523" s="2">
        <v>79853</v>
      </c>
      <c r="H523" s="2">
        <v>53928</v>
      </c>
      <c r="I523" s="2">
        <v>1857</v>
      </c>
      <c r="J523" s="2">
        <v>481</v>
      </c>
      <c r="K523" s="2">
        <v>443</v>
      </c>
      <c r="L523" s="5">
        <f t="shared" si="26"/>
        <v>5.156875834445928E-2</v>
      </c>
    </row>
    <row r="524" spans="1:12" x14ac:dyDescent="0.25">
      <c r="A524" t="s">
        <v>542</v>
      </c>
      <c r="B524" t="s">
        <v>11</v>
      </c>
      <c r="C524" s="10">
        <v>45383</v>
      </c>
      <c r="D524" s="18" t="str">
        <f t="shared" si="24"/>
        <v>April</v>
      </c>
      <c r="E524" s="11" t="str">
        <f t="shared" si="25"/>
        <v>2024</v>
      </c>
      <c r="F524" t="s">
        <v>32</v>
      </c>
      <c r="G524" s="2">
        <v>7562</v>
      </c>
      <c r="H524" s="2">
        <v>4153</v>
      </c>
      <c r="I524" s="2">
        <v>57</v>
      </c>
      <c r="J524" s="2">
        <v>55</v>
      </c>
      <c r="K524" s="2">
        <v>51</v>
      </c>
      <c r="L524" s="5">
        <f t="shared" si="26"/>
        <v>3.9248735853599809E-2</v>
      </c>
    </row>
    <row r="525" spans="1:12" x14ac:dyDescent="0.25">
      <c r="A525" t="s">
        <v>543</v>
      </c>
      <c r="B525" t="s">
        <v>20</v>
      </c>
      <c r="C525" s="10">
        <v>45791</v>
      </c>
      <c r="D525" s="18" t="str">
        <f t="shared" si="24"/>
        <v>May</v>
      </c>
      <c r="E525" s="11" t="str">
        <f t="shared" si="25"/>
        <v>2025</v>
      </c>
      <c r="F525" t="s">
        <v>24</v>
      </c>
      <c r="G525" s="2">
        <v>85442</v>
      </c>
      <c r="H525" s="2">
        <v>26782</v>
      </c>
      <c r="I525" s="2">
        <v>1735</v>
      </c>
      <c r="J525" s="2">
        <v>170</v>
      </c>
      <c r="K525" s="2">
        <v>785</v>
      </c>
      <c r="L525" s="5">
        <f t="shared" si="26"/>
        <v>0.10044059442909417</v>
      </c>
    </row>
    <row r="526" spans="1:12" x14ac:dyDescent="0.25">
      <c r="A526" t="s">
        <v>544</v>
      </c>
      <c r="B526" t="s">
        <v>14</v>
      </c>
      <c r="C526" s="10">
        <v>45784</v>
      </c>
      <c r="D526" s="18" t="str">
        <f t="shared" si="24"/>
        <v>May</v>
      </c>
      <c r="E526" s="11" t="str">
        <f t="shared" si="25"/>
        <v>2025</v>
      </c>
      <c r="F526" t="s">
        <v>24</v>
      </c>
      <c r="G526" s="2">
        <v>92991</v>
      </c>
      <c r="H526" s="2">
        <v>71950</v>
      </c>
      <c r="I526" s="2">
        <v>2726</v>
      </c>
      <c r="J526" s="2">
        <v>804</v>
      </c>
      <c r="K526" s="2">
        <v>495</v>
      </c>
      <c r="L526" s="5">
        <f t="shared" si="26"/>
        <v>5.5941626129256426E-2</v>
      </c>
    </row>
    <row r="527" spans="1:12" x14ac:dyDescent="0.25">
      <c r="A527" t="s">
        <v>545</v>
      </c>
      <c r="B527" t="s">
        <v>20</v>
      </c>
      <c r="C527" s="10">
        <v>45587</v>
      </c>
      <c r="D527" s="18" t="str">
        <f t="shared" si="24"/>
        <v>October</v>
      </c>
      <c r="E527" s="11" t="str">
        <f t="shared" si="25"/>
        <v>2024</v>
      </c>
      <c r="F527" t="s">
        <v>24</v>
      </c>
      <c r="G527" s="2">
        <v>301112</v>
      </c>
      <c r="H527" s="2">
        <v>200204</v>
      </c>
      <c r="I527" s="2">
        <v>8580</v>
      </c>
      <c r="J527" s="2">
        <v>5836</v>
      </c>
      <c r="K527" s="2">
        <v>9983</v>
      </c>
      <c r="L527" s="5">
        <f t="shared" si="26"/>
        <v>0.12187069189426784</v>
      </c>
    </row>
    <row r="528" spans="1:12" x14ac:dyDescent="0.25">
      <c r="A528" t="s">
        <v>546</v>
      </c>
      <c r="B528" t="s">
        <v>11</v>
      </c>
      <c r="C528" s="10">
        <v>45811</v>
      </c>
      <c r="D528" s="18" t="str">
        <f t="shared" si="24"/>
        <v>June</v>
      </c>
      <c r="E528" s="11" t="str">
        <f t="shared" si="25"/>
        <v>2025</v>
      </c>
      <c r="F528" t="s">
        <v>18</v>
      </c>
      <c r="G528" s="2">
        <v>34405</v>
      </c>
      <c r="H528" s="2">
        <v>22484</v>
      </c>
      <c r="I528" s="2">
        <v>344</v>
      </c>
      <c r="J528" s="2">
        <v>407</v>
      </c>
      <c r="K528" s="2">
        <v>636</v>
      </c>
      <c r="L528" s="5">
        <f t="shared" si="26"/>
        <v>6.1688311688311688E-2</v>
      </c>
    </row>
    <row r="529" spans="1:12" x14ac:dyDescent="0.25">
      <c r="A529" t="s">
        <v>547</v>
      </c>
      <c r="B529" t="s">
        <v>11</v>
      </c>
      <c r="C529" s="10">
        <v>45952</v>
      </c>
      <c r="D529" s="18" t="str">
        <f t="shared" si="24"/>
        <v>October</v>
      </c>
      <c r="E529" s="11" t="str">
        <f t="shared" si="25"/>
        <v>2025</v>
      </c>
      <c r="F529" t="s">
        <v>18</v>
      </c>
      <c r="G529" s="2">
        <v>731</v>
      </c>
      <c r="H529" s="2">
        <v>238</v>
      </c>
      <c r="I529" s="2">
        <v>8</v>
      </c>
      <c r="J529" s="2">
        <v>2</v>
      </c>
      <c r="K529" s="2">
        <v>4</v>
      </c>
      <c r="L529" s="5">
        <f t="shared" si="26"/>
        <v>5.8823529411764705E-2</v>
      </c>
    </row>
    <row r="530" spans="1:12" x14ac:dyDescent="0.25">
      <c r="A530" t="s">
        <v>548</v>
      </c>
      <c r="B530" t="s">
        <v>20</v>
      </c>
      <c r="C530" s="10">
        <v>45814</v>
      </c>
      <c r="D530" s="18" t="str">
        <f t="shared" si="24"/>
        <v>June</v>
      </c>
      <c r="E530" s="11" t="str">
        <f t="shared" si="25"/>
        <v>2025</v>
      </c>
      <c r="F530" t="s">
        <v>18</v>
      </c>
      <c r="G530" s="2">
        <v>120386</v>
      </c>
      <c r="H530" s="2">
        <v>56351</v>
      </c>
      <c r="I530" s="2">
        <v>5671</v>
      </c>
      <c r="J530" s="2">
        <v>479</v>
      </c>
      <c r="K530" s="2">
        <v>2188</v>
      </c>
      <c r="L530" s="5">
        <f t="shared" si="26"/>
        <v>0.14796543095952158</v>
      </c>
    </row>
    <row r="531" spans="1:12" x14ac:dyDescent="0.25">
      <c r="A531" t="s">
        <v>549</v>
      </c>
      <c r="B531" t="s">
        <v>14</v>
      </c>
      <c r="C531" s="10">
        <v>45538</v>
      </c>
      <c r="D531" s="18" t="str">
        <f t="shared" si="24"/>
        <v>September</v>
      </c>
      <c r="E531" s="11" t="str">
        <f t="shared" si="25"/>
        <v>2024</v>
      </c>
      <c r="F531" t="s">
        <v>18</v>
      </c>
      <c r="G531" s="2">
        <v>62072</v>
      </c>
      <c r="H531" s="2">
        <v>27597</v>
      </c>
      <c r="I531" s="2">
        <v>1429</v>
      </c>
      <c r="J531" s="2">
        <v>260</v>
      </c>
      <c r="K531" s="2">
        <v>97</v>
      </c>
      <c r="L531" s="5">
        <f t="shared" si="26"/>
        <v>6.4717179403558353E-2</v>
      </c>
    </row>
    <row r="532" spans="1:12" x14ac:dyDescent="0.25">
      <c r="A532" t="s">
        <v>550</v>
      </c>
      <c r="B532" t="s">
        <v>26</v>
      </c>
      <c r="C532" s="10">
        <v>45424</v>
      </c>
      <c r="D532" s="18" t="str">
        <f t="shared" si="24"/>
        <v>May</v>
      </c>
      <c r="E532" s="11" t="str">
        <f t="shared" si="25"/>
        <v>2024</v>
      </c>
      <c r="F532" t="s">
        <v>32</v>
      </c>
      <c r="G532" s="2">
        <v>21231</v>
      </c>
      <c r="H532" s="2">
        <v>9493</v>
      </c>
      <c r="I532" s="2">
        <v>166</v>
      </c>
      <c r="J532" s="2">
        <v>127</v>
      </c>
      <c r="K532" s="2">
        <v>103</v>
      </c>
      <c r="L532" s="5">
        <f t="shared" si="26"/>
        <v>4.1714947856315181E-2</v>
      </c>
    </row>
    <row r="533" spans="1:12" x14ac:dyDescent="0.25">
      <c r="A533" t="s">
        <v>551</v>
      </c>
      <c r="B533" t="s">
        <v>17</v>
      </c>
      <c r="C533" s="10">
        <v>45682</v>
      </c>
      <c r="D533" s="18" t="str">
        <f t="shared" si="24"/>
        <v>January</v>
      </c>
      <c r="E533" s="11" t="str">
        <f t="shared" si="25"/>
        <v>2025</v>
      </c>
      <c r="F533" t="s">
        <v>12</v>
      </c>
      <c r="G533" s="2">
        <v>24799</v>
      </c>
      <c r="H533" s="2">
        <v>14219</v>
      </c>
      <c r="I533" s="2">
        <v>159</v>
      </c>
      <c r="J533" s="2">
        <v>107</v>
      </c>
      <c r="K533" s="2">
        <v>50</v>
      </c>
      <c r="L533" s="5">
        <f t="shared" si="26"/>
        <v>2.222378507630635E-2</v>
      </c>
    </row>
    <row r="534" spans="1:12" x14ac:dyDescent="0.25">
      <c r="A534" t="s">
        <v>552</v>
      </c>
      <c r="B534" t="s">
        <v>11</v>
      </c>
      <c r="C534" s="10">
        <v>45308</v>
      </c>
      <c r="D534" s="18" t="str">
        <f t="shared" si="24"/>
        <v>January</v>
      </c>
      <c r="E534" s="11" t="str">
        <f t="shared" si="25"/>
        <v>2024</v>
      </c>
      <c r="F534" t="s">
        <v>18</v>
      </c>
      <c r="G534" s="2">
        <v>3061</v>
      </c>
      <c r="H534" s="2">
        <v>1290</v>
      </c>
      <c r="I534" s="2">
        <v>63</v>
      </c>
      <c r="J534" s="2">
        <v>7</v>
      </c>
      <c r="K534" s="2">
        <v>28</v>
      </c>
      <c r="L534" s="5">
        <f t="shared" si="26"/>
        <v>7.5968992248062014E-2</v>
      </c>
    </row>
    <row r="535" spans="1:12" x14ac:dyDescent="0.25">
      <c r="A535" t="s">
        <v>553</v>
      </c>
      <c r="B535" t="s">
        <v>20</v>
      </c>
      <c r="C535" s="10">
        <v>45728</v>
      </c>
      <c r="D535" s="18" t="str">
        <f t="shared" si="24"/>
        <v>March</v>
      </c>
      <c r="E535" s="11" t="str">
        <f t="shared" si="25"/>
        <v>2025</v>
      </c>
      <c r="F535" t="s">
        <v>24</v>
      </c>
      <c r="G535" s="2">
        <v>340043</v>
      </c>
      <c r="H535" s="2">
        <v>161330</v>
      </c>
      <c r="I535" s="2">
        <v>7093</v>
      </c>
      <c r="J535" s="2">
        <v>2464</v>
      </c>
      <c r="K535" s="2">
        <v>5353</v>
      </c>
      <c r="L535" s="5">
        <f t="shared" si="26"/>
        <v>9.241926486084423E-2</v>
      </c>
    </row>
    <row r="536" spans="1:12" x14ac:dyDescent="0.25">
      <c r="A536" t="s">
        <v>554</v>
      </c>
      <c r="B536" t="s">
        <v>17</v>
      </c>
      <c r="C536" s="10">
        <v>45359</v>
      </c>
      <c r="D536" s="18" t="str">
        <f t="shared" si="24"/>
        <v>March</v>
      </c>
      <c r="E536" s="11" t="str">
        <f t="shared" si="25"/>
        <v>2024</v>
      </c>
      <c r="F536" t="s">
        <v>18</v>
      </c>
      <c r="G536" s="2">
        <v>29619</v>
      </c>
      <c r="H536" s="2">
        <v>22976</v>
      </c>
      <c r="I536" s="2">
        <v>279</v>
      </c>
      <c r="J536" s="2">
        <v>148</v>
      </c>
      <c r="K536" s="2">
        <v>145</v>
      </c>
      <c r="L536" s="5">
        <f t="shared" si="26"/>
        <v>2.4895543175487464E-2</v>
      </c>
    </row>
    <row r="537" spans="1:12" x14ac:dyDescent="0.25">
      <c r="A537" t="s">
        <v>555</v>
      </c>
      <c r="B537" t="s">
        <v>20</v>
      </c>
      <c r="C537" s="10">
        <v>45663</v>
      </c>
      <c r="D537" s="18" t="str">
        <f t="shared" si="24"/>
        <v>January</v>
      </c>
      <c r="E537" s="11" t="str">
        <f t="shared" si="25"/>
        <v>2025</v>
      </c>
      <c r="F537" t="s">
        <v>24</v>
      </c>
      <c r="G537" s="2">
        <v>422846</v>
      </c>
      <c r="H537" s="2">
        <v>225005</v>
      </c>
      <c r="I537" s="2">
        <v>19967</v>
      </c>
      <c r="J537" s="2">
        <v>2782</v>
      </c>
      <c r="K537" s="2">
        <v>2634</v>
      </c>
      <c r="L537" s="5">
        <f t="shared" si="26"/>
        <v>0.11281082642607942</v>
      </c>
    </row>
    <row r="538" spans="1:12" x14ac:dyDescent="0.25">
      <c r="A538" t="s">
        <v>556</v>
      </c>
      <c r="B538" t="s">
        <v>11</v>
      </c>
      <c r="C538" s="10">
        <v>45724</v>
      </c>
      <c r="D538" s="18" t="str">
        <f t="shared" si="24"/>
        <v>March</v>
      </c>
      <c r="E538" s="11" t="str">
        <f t="shared" si="25"/>
        <v>2025</v>
      </c>
      <c r="F538" t="s">
        <v>15</v>
      </c>
      <c r="G538" s="2">
        <v>27037</v>
      </c>
      <c r="H538" s="2">
        <v>11583</v>
      </c>
      <c r="I538" s="2">
        <v>294</v>
      </c>
      <c r="J538" s="2">
        <v>180</v>
      </c>
      <c r="K538" s="2">
        <v>235</v>
      </c>
      <c r="L538" s="5">
        <f t="shared" si="26"/>
        <v>6.1210394543727877E-2</v>
      </c>
    </row>
    <row r="539" spans="1:12" x14ac:dyDescent="0.25">
      <c r="A539" t="s">
        <v>557</v>
      </c>
      <c r="B539" t="s">
        <v>14</v>
      </c>
      <c r="C539" s="10">
        <v>45922</v>
      </c>
      <c r="D539" s="18" t="str">
        <f t="shared" si="24"/>
        <v>September</v>
      </c>
      <c r="E539" s="11" t="str">
        <f t="shared" si="25"/>
        <v>2025</v>
      </c>
      <c r="F539" t="s">
        <v>24</v>
      </c>
      <c r="G539" s="2">
        <v>58108</v>
      </c>
      <c r="H539" s="2">
        <v>45986</v>
      </c>
      <c r="I539" s="2">
        <v>1595</v>
      </c>
      <c r="J539" s="2">
        <v>273</v>
      </c>
      <c r="K539" s="2">
        <v>79</v>
      </c>
      <c r="L539" s="5">
        <f t="shared" si="26"/>
        <v>4.233897273083112E-2</v>
      </c>
    </row>
    <row r="540" spans="1:12" x14ac:dyDescent="0.25">
      <c r="A540" t="s">
        <v>558</v>
      </c>
      <c r="B540" t="s">
        <v>11</v>
      </c>
      <c r="C540" s="10">
        <v>45689</v>
      </c>
      <c r="D540" s="18" t="str">
        <f t="shared" si="24"/>
        <v>February</v>
      </c>
      <c r="E540" s="11" t="str">
        <f t="shared" si="25"/>
        <v>2025</v>
      </c>
      <c r="F540" t="s">
        <v>32</v>
      </c>
      <c r="G540" s="2">
        <v>39598</v>
      </c>
      <c r="H540" s="2">
        <v>27591</v>
      </c>
      <c r="I540" s="2">
        <v>554</v>
      </c>
      <c r="J540" s="2">
        <v>546</v>
      </c>
      <c r="K540" s="2">
        <v>240</v>
      </c>
      <c r="L540" s="5">
        <f t="shared" si="26"/>
        <v>4.8566561559928965E-2</v>
      </c>
    </row>
    <row r="541" spans="1:12" x14ac:dyDescent="0.25">
      <c r="A541" t="s">
        <v>559</v>
      </c>
      <c r="B541" t="s">
        <v>14</v>
      </c>
      <c r="C541" s="10">
        <v>45842</v>
      </c>
      <c r="D541" s="18" t="str">
        <f t="shared" si="24"/>
        <v>July</v>
      </c>
      <c r="E541" s="11" t="str">
        <f t="shared" si="25"/>
        <v>2025</v>
      </c>
      <c r="F541" t="s">
        <v>24</v>
      </c>
      <c r="G541" s="2">
        <v>13315</v>
      </c>
      <c r="H541" s="2">
        <v>8634</v>
      </c>
      <c r="I541" s="2">
        <v>386</v>
      </c>
      <c r="J541" s="2">
        <v>17</v>
      </c>
      <c r="K541" s="2">
        <v>54</v>
      </c>
      <c r="L541" s="5">
        <f t="shared" si="26"/>
        <v>5.2930275654389625E-2</v>
      </c>
    </row>
    <row r="542" spans="1:12" x14ac:dyDescent="0.25">
      <c r="A542" t="s">
        <v>560</v>
      </c>
      <c r="B542" t="s">
        <v>20</v>
      </c>
      <c r="C542" s="10">
        <v>45935</v>
      </c>
      <c r="D542" s="18" t="str">
        <f t="shared" si="24"/>
        <v>October</v>
      </c>
      <c r="E542" s="11" t="str">
        <f t="shared" si="25"/>
        <v>2025</v>
      </c>
      <c r="F542" t="s">
        <v>24</v>
      </c>
      <c r="G542" s="2">
        <v>205114</v>
      </c>
      <c r="H542" s="2">
        <v>63793</v>
      </c>
      <c r="I542" s="2">
        <v>2285</v>
      </c>
      <c r="J542" s="2">
        <v>1498</v>
      </c>
      <c r="K542" s="2">
        <v>1133</v>
      </c>
      <c r="L542" s="5">
        <f t="shared" si="26"/>
        <v>7.7061746586616089E-2</v>
      </c>
    </row>
    <row r="543" spans="1:12" x14ac:dyDescent="0.25">
      <c r="A543" t="s">
        <v>561</v>
      </c>
      <c r="B543" t="s">
        <v>26</v>
      </c>
      <c r="C543" s="10">
        <v>45913</v>
      </c>
      <c r="D543" s="18" t="str">
        <f t="shared" si="24"/>
        <v>September</v>
      </c>
      <c r="E543" s="11" t="str">
        <f t="shared" si="25"/>
        <v>2025</v>
      </c>
      <c r="F543" t="s">
        <v>12</v>
      </c>
      <c r="G543" s="2">
        <v>13067</v>
      </c>
      <c r="H543" s="2">
        <v>6556</v>
      </c>
      <c r="I543" s="2">
        <v>329</v>
      </c>
      <c r="J543" s="2">
        <v>126</v>
      </c>
      <c r="K543" s="2">
        <v>46</v>
      </c>
      <c r="L543" s="5">
        <f t="shared" si="26"/>
        <v>7.6418547895057962E-2</v>
      </c>
    </row>
    <row r="544" spans="1:12" x14ac:dyDescent="0.25">
      <c r="A544" t="s">
        <v>562</v>
      </c>
      <c r="B544" t="s">
        <v>26</v>
      </c>
      <c r="C544" s="10">
        <v>46001</v>
      </c>
      <c r="D544" s="18" t="str">
        <f t="shared" si="24"/>
        <v>December</v>
      </c>
      <c r="E544" s="11" t="str">
        <f t="shared" si="25"/>
        <v>2025</v>
      </c>
      <c r="F544" t="s">
        <v>15</v>
      </c>
      <c r="G544" s="2">
        <v>14564</v>
      </c>
      <c r="H544" s="2">
        <v>6240</v>
      </c>
      <c r="I544" s="2">
        <v>222</v>
      </c>
      <c r="J544" s="2">
        <v>92</v>
      </c>
      <c r="K544" s="2">
        <v>92</v>
      </c>
      <c r="L544" s="5">
        <f t="shared" si="26"/>
        <v>6.5064102564102569E-2</v>
      </c>
    </row>
    <row r="545" spans="1:12" x14ac:dyDescent="0.25">
      <c r="A545" t="s">
        <v>563</v>
      </c>
      <c r="B545" t="s">
        <v>14</v>
      </c>
      <c r="C545" s="10">
        <v>45893</v>
      </c>
      <c r="D545" s="18" t="str">
        <f t="shared" si="24"/>
        <v>August</v>
      </c>
      <c r="E545" s="11" t="str">
        <f t="shared" si="25"/>
        <v>2025</v>
      </c>
      <c r="F545" t="s">
        <v>18</v>
      </c>
      <c r="G545" s="2">
        <v>84635</v>
      </c>
      <c r="H545" s="2">
        <v>55737</v>
      </c>
      <c r="I545" s="2">
        <v>1423</v>
      </c>
      <c r="J545" s="2">
        <v>808</v>
      </c>
      <c r="K545" s="2">
        <v>474</v>
      </c>
      <c r="L545" s="5">
        <f t="shared" si="26"/>
        <v>4.8531496133627575E-2</v>
      </c>
    </row>
    <row r="546" spans="1:12" x14ac:dyDescent="0.25">
      <c r="A546" t="s">
        <v>564</v>
      </c>
      <c r="B546" t="s">
        <v>26</v>
      </c>
      <c r="C546" s="10">
        <v>45528</v>
      </c>
      <c r="D546" s="18" t="str">
        <f t="shared" si="24"/>
        <v>August</v>
      </c>
      <c r="E546" s="11" t="str">
        <f t="shared" si="25"/>
        <v>2024</v>
      </c>
      <c r="F546" t="s">
        <v>12</v>
      </c>
      <c r="G546" s="2">
        <v>10273</v>
      </c>
      <c r="H546" s="2">
        <v>5654</v>
      </c>
      <c r="I546" s="2">
        <v>175</v>
      </c>
      <c r="J546" s="2">
        <v>43</v>
      </c>
      <c r="K546" s="2">
        <v>45</v>
      </c>
      <c r="L546" s="5">
        <f t="shared" si="26"/>
        <v>4.651574106827025E-2</v>
      </c>
    </row>
    <row r="547" spans="1:12" x14ac:dyDescent="0.25">
      <c r="A547" t="s">
        <v>565</v>
      </c>
      <c r="B547" t="s">
        <v>17</v>
      </c>
      <c r="C547" s="10">
        <v>45814</v>
      </c>
      <c r="D547" s="18" t="str">
        <f t="shared" si="24"/>
        <v>June</v>
      </c>
      <c r="E547" s="11" t="str">
        <f t="shared" si="25"/>
        <v>2025</v>
      </c>
      <c r="F547" t="s">
        <v>18</v>
      </c>
      <c r="G547" s="2">
        <v>7109</v>
      </c>
      <c r="H547" s="2">
        <v>4361</v>
      </c>
      <c r="I547" s="2">
        <v>97</v>
      </c>
      <c r="J547" s="2">
        <v>30</v>
      </c>
      <c r="K547" s="2">
        <v>85</v>
      </c>
      <c r="L547" s="5">
        <f t="shared" si="26"/>
        <v>4.8612703508369638E-2</v>
      </c>
    </row>
    <row r="548" spans="1:12" x14ac:dyDescent="0.25">
      <c r="A548" t="s">
        <v>566</v>
      </c>
      <c r="B548" t="s">
        <v>11</v>
      </c>
      <c r="C548" s="10">
        <v>45546</v>
      </c>
      <c r="D548" s="18" t="str">
        <f t="shared" si="24"/>
        <v>September</v>
      </c>
      <c r="E548" s="11" t="str">
        <f t="shared" si="25"/>
        <v>2024</v>
      </c>
      <c r="F548" t="s">
        <v>15</v>
      </c>
      <c r="G548" s="2">
        <v>26436</v>
      </c>
      <c r="H548" s="2">
        <v>17632</v>
      </c>
      <c r="I548" s="2">
        <v>724</v>
      </c>
      <c r="J548" s="2">
        <v>287</v>
      </c>
      <c r="K548" s="2">
        <v>323</v>
      </c>
      <c r="L548" s="5">
        <f t="shared" si="26"/>
        <v>7.5657894736842105E-2</v>
      </c>
    </row>
    <row r="549" spans="1:12" x14ac:dyDescent="0.25">
      <c r="A549" t="s">
        <v>567</v>
      </c>
      <c r="B549" t="s">
        <v>11</v>
      </c>
      <c r="C549" s="10">
        <v>45850</v>
      </c>
      <c r="D549" s="18" t="str">
        <f t="shared" si="24"/>
        <v>July</v>
      </c>
      <c r="E549" s="11" t="str">
        <f t="shared" si="25"/>
        <v>2025</v>
      </c>
      <c r="F549" t="s">
        <v>15</v>
      </c>
      <c r="G549" s="2">
        <v>10617</v>
      </c>
      <c r="H549" s="2">
        <v>6587</v>
      </c>
      <c r="I549" s="2">
        <v>162</v>
      </c>
      <c r="J549" s="2">
        <v>66</v>
      </c>
      <c r="K549" s="2">
        <v>156</v>
      </c>
      <c r="L549" s="5">
        <f t="shared" si="26"/>
        <v>5.8296644906634276E-2</v>
      </c>
    </row>
    <row r="550" spans="1:12" x14ac:dyDescent="0.25">
      <c r="A550" t="s">
        <v>568</v>
      </c>
      <c r="B550" t="s">
        <v>11</v>
      </c>
      <c r="C550" s="10">
        <v>45310</v>
      </c>
      <c r="D550" s="18" t="str">
        <f t="shared" si="24"/>
        <v>January</v>
      </c>
      <c r="E550" s="11" t="str">
        <f t="shared" si="25"/>
        <v>2024</v>
      </c>
      <c r="F550" t="s">
        <v>12</v>
      </c>
      <c r="G550" s="2">
        <v>25704</v>
      </c>
      <c r="H550" s="2">
        <v>17953</v>
      </c>
      <c r="I550" s="2">
        <v>558</v>
      </c>
      <c r="J550" s="2">
        <v>191</v>
      </c>
      <c r="K550" s="2">
        <v>450</v>
      </c>
      <c r="L550" s="5">
        <f t="shared" si="26"/>
        <v>6.6785495460368743E-2</v>
      </c>
    </row>
    <row r="551" spans="1:12" x14ac:dyDescent="0.25">
      <c r="A551" t="s">
        <v>569</v>
      </c>
      <c r="B551" t="s">
        <v>20</v>
      </c>
      <c r="C551" s="10">
        <v>45538</v>
      </c>
      <c r="D551" s="18" t="str">
        <f t="shared" si="24"/>
        <v>September</v>
      </c>
      <c r="E551" s="11" t="str">
        <f t="shared" si="25"/>
        <v>2024</v>
      </c>
      <c r="F551" t="s">
        <v>24</v>
      </c>
      <c r="G551" s="2">
        <v>280933</v>
      </c>
      <c r="H551" s="2">
        <v>189679</v>
      </c>
      <c r="I551" s="2">
        <v>7795</v>
      </c>
      <c r="J551" s="2">
        <v>5204</v>
      </c>
      <c r="K551" s="2">
        <v>4138</v>
      </c>
      <c r="L551" s="5">
        <f t="shared" si="26"/>
        <v>9.0347376356897713E-2</v>
      </c>
    </row>
    <row r="552" spans="1:12" x14ac:dyDescent="0.25">
      <c r="A552" t="s">
        <v>570</v>
      </c>
      <c r="B552" t="s">
        <v>14</v>
      </c>
      <c r="C552" s="10">
        <v>45958</v>
      </c>
      <c r="D552" s="18" t="str">
        <f t="shared" si="24"/>
        <v>October</v>
      </c>
      <c r="E552" s="11" t="str">
        <f t="shared" si="25"/>
        <v>2025</v>
      </c>
      <c r="F552" t="s">
        <v>24</v>
      </c>
      <c r="G552" s="2">
        <v>68366</v>
      </c>
      <c r="H552" s="2">
        <v>35477</v>
      </c>
      <c r="I552" s="2">
        <v>1826</v>
      </c>
      <c r="J552" s="2">
        <v>351</v>
      </c>
      <c r="K552" s="2">
        <v>194</v>
      </c>
      <c r="L552" s="5">
        <f t="shared" si="26"/>
        <v>6.6832032020745835E-2</v>
      </c>
    </row>
    <row r="553" spans="1:12" x14ac:dyDescent="0.25">
      <c r="A553" t="s">
        <v>571</v>
      </c>
      <c r="B553" t="s">
        <v>20</v>
      </c>
      <c r="C553" s="10">
        <v>45750</v>
      </c>
      <c r="D553" s="18" t="str">
        <f t="shared" si="24"/>
        <v>April</v>
      </c>
      <c r="E553" s="11" t="str">
        <f t="shared" si="25"/>
        <v>2025</v>
      </c>
      <c r="F553" t="s">
        <v>24</v>
      </c>
      <c r="G553" s="2">
        <v>335088</v>
      </c>
      <c r="H553" s="2">
        <v>169663</v>
      </c>
      <c r="I553" s="2">
        <v>15633</v>
      </c>
      <c r="J553" s="2">
        <v>2559</v>
      </c>
      <c r="K553" s="2">
        <v>6680</v>
      </c>
      <c r="L553" s="5">
        <f t="shared" si="26"/>
        <v>0.14659648833275377</v>
      </c>
    </row>
    <row r="554" spans="1:12" x14ac:dyDescent="0.25">
      <c r="A554" t="s">
        <v>572</v>
      </c>
      <c r="B554" t="s">
        <v>20</v>
      </c>
      <c r="C554" s="10">
        <v>45652</v>
      </c>
      <c r="D554" s="18" t="str">
        <f t="shared" si="24"/>
        <v>December</v>
      </c>
      <c r="E554" s="11" t="str">
        <f t="shared" si="25"/>
        <v>2024</v>
      </c>
      <c r="F554" t="s">
        <v>24</v>
      </c>
      <c r="G554" s="2">
        <v>483615</v>
      </c>
      <c r="H554" s="2">
        <v>199498</v>
      </c>
      <c r="I554" s="2">
        <v>22698</v>
      </c>
      <c r="J554" s="2">
        <v>2739</v>
      </c>
      <c r="K554" s="2">
        <v>3031</v>
      </c>
      <c r="L554" s="5">
        <f t="shared" si="26"/>
        <v>0.14269817241275601</v>
      </c>
    </row>
    <row r="555" spans="1:12" x14ac:dyDescent="0.25">
      <c r="A555" t="s">
        <v>573</v>
      </c>
      <c r="B555" t="s">
        <v>11</v>
      </c>
      <c r="C555" s="10">
        <v>45299</v>
      </c>
      <c r="D555" s="18" t="str">
        <f t="shared" si="24"/>
        <v>January</v>
      </c>
      <c r="E555" s="11" t="str">
        <f t="shared" si="25"/>
        <v>2024</v>
      </c>
      <c r="F555" t="s">
        <v>12</v>
      </c>
      <c r="G555" s="2">
        <v>19259</v>
      </c>
      <c r="H555" s="2">
        <v>12826</v>
      </c>
      <c r="I555" s="2">
        <v>282</v>
      </c>
      <c r="J555" s="2">
        <v>178</v>
      </c>
      <c r="K555" s="2">
        <v>354</v>
      </c>
      <c r="L555" s="5">
        <f t="shared" si="26"/>
        <v>6.3464837049742706E-2</v>
      </c>
    </row>
    <row r="556" spans="1:12" x14ac:dyDescent="0.25">
      <c r="A556" t="s">
        <v>574</v>
      </c>
      <c r="B556" t="s">
        <v>20</v>
      </c>
      <c r="C556" s="10">
        <v>45934</v>
      </c>
      <c r="D556" s="18" t="str">
        <f t="shared" si="24"/>
        <v>October</v>
      </c>
      <c r="E556" s="11" t="str">
        <f t="shared" si="25"/>
        <v>2025</v>
      </c>
      <c r="F556" t="s">
        <v>24</v>
      </c>
      <c r="G556" s="2">
        <v>105734</v>
      </c>
      <c r="H556" s="2">
        <v>49365</v>
      </c>
      <c r="I556" s="2">
        <v>3314</v>
      </c>
      <c r="J556" s="2">
        <v>1127</v>
      </c>
      <c r="K556" s="2">
        <v>2353</v>
      </c>
      <c r="L556" s="5">
        <f t="shared" si="26"/>
        <v>0.13762787399979742</v>
      </c>
    </row>
    <row r="557" spans="1:12" x14ac:dyDescent="0.25">
      <c r="A557" t="s">
        <v>575</v>
      </c>
      <c r="B557" t="s">
        <v>20</v>
      </c>
      <c r="C557" s="10">
        <v>45459</v>
      </c>
      <c r="D557" s="18" t="str">
        <f t="shared" si="24"/>
        <v>June</v>
      </c>
      <c r="E557" s="11" t="str">
        <f t="shared" si="25"/>
        <v>2024</v>
      </c>
      <c r="F557" t="s">
        <v>18</v>
      </c>
      <c r="G557" s="2">
        <v>314434</v>
      </c>
      <c r="H557" s="2">
        <v>216610</v>
      </c>
      <c r="I557" s="2">
        <v>17538</v>
      </c>
      <c r="J557" s="2">
        <v>2841</v>
      </c>
      <c r="K557" s="2">
        <v>3817</v>
      </c>
      <c r="L557" s="5">
        <f t="shared" si="26"/>
        <v>0.11170306080051706</v>
      </c>
    </row>
    <row r="558" spans="1:12" x14ac:dyDescent="0.25">
      <c r="A558" t="s">
        <v>576</v>
      </c>
      <c r="B558" t="s">
        <v>26</v>
      </c>
      <c r="C558" s="10">
        <v>45689</v>
      </c>
      <c r="D558" s="18" t="str">
        <f t="shared" si="24"/>
        <v>February</v>
      </c>
      <c r="E558" s="11" t="str">
        <f t="shared" si="25"/>
        <v>2025</v>
      </c>
      <c r="F558" t="s">
        <v>12</v>
      </c>
      <c r="G558" s="2">
        <v>3279</v>
      </c>
      <c r="H558" s="2">
        <v>2511</v>
      </c>
      <c r="I558" s="2">
        <v>111</v>
      </c>
      <c r="J558" s="2">
        <v>24</v>
      </c>
      <c r="K558" s="2">
        <v>27</v>
      </c>
      <c r="L558" s="5">
        <f t="shared" si="26"/>
        <v>6.4516129032258063E-2</v>
      </c>
    </row>
    <row r="559" spans="1:12" x14ac:dyDescent="0.25">
      <c r="A559" t="s">
        <v>577</v>
      </c>
      <c r="B559" t="s">
        <v>11</v>
      </c>
      <c r="C559" s="10">
        <v>45344</v>
      </c>
      <c r="D559" s="18" t="str">
        <f t="shared" si="24"/>
        <v>February</v>
      </c>
      <c r="E559" s="11" t="str">
        <f t="shared" si="25"/>
        <v>2024</v>
      </c>
      <c r="F559" t="s">
        <v>32</v>
      </c>
      <c r="G559" s="2">
        <v>49064</v>
      </c>
      <c r="H559" s="2">
        <v>33184</v>
      </c>
      <c r="I559" s="2">
        <v>1143</v>
      </c>
      <c r="J559" s="2">
        <v>345</v>
      </c>
      <c r="K559" s="2">
        <v>511</v>
      </c>
      <c r="L559" s="5">
        <f t="shared" si="26"/>
        <v>6.0239874638379945E-2</v>
      </c>
    </row>
    <row r="560" spans="1:12" x14ac:dyDescent="0.25">
      <c r="A560" t="s">
        <v>578</v>
      </c>
      <c r="B560" t="s">
        <v>26</v>
      </c>
      <c r="C560" s="10">
        <v>45795</v>
      </c>
      <c r="D560" s="18" t="str">
        <f t="shared" si="24"/>
        <v>May</v>
      </c>
      <c r="E560" s="11" t="str">
        <f t="shared" si="25"/>
        <v>2025</v>
      </c>
      <c r="F560" t="s">
        <v>12</v>
      </c>
      <c r="G560" s="2">
        <v>13079</v>
      </c>
      <c r="H560" s="2">
        <v>8025</v>
      </c>
      <c r="I560" s="2">
        <v>217</v>
      </c>
      <c r="J560" s="2">
        <v>177</v>
      </c>
      <c r="K560" s="2">
        <v>97</v>
      </c>
      <c r="L560" s="5">
        <f t="shared" si="26"/>
        <v>6.118380062305296E-2</v>
      </c>
    </row>
    <row r="561" spans="1:12" x14ac:dyDescent="0.25">
      <c r="A561" t="s">
        <v>579</v>
      </c>
      <c r="B561" t="s">
        <v>11</v>
      </c>
      <c r="C561" s="10">
        <v>45706</v>
      </c>
      <c r="D561" s="18" t="str">
        <f t="shared" si="24"/>
        <v>February</v>
      </c>
      <c r="E561" s="11" t="str">
        <f t="shared" si="25"/>
        <v>2025</v>
      </c>
      <c r="F561" t="s">
        <v>18</v>
      </c>
      <c r="G561" s="2">
        <v>68875</v>
      </c>
      <c r="H561" s="2">
        <v>37350</v>
      </c>
      <c r="I561" s="2">
        <v>1165</v>
      </c>
      <c r="J561" s="2">
        <v>516</v>
      </c>
      <c r="K561" s="2">
        <v>980</v>
      </c>
      <c r="L561" s="5">
        <f t="shared" si="26"/>
        <v>7.1244979919678708E-2</v>
      </c>
    </row>
    <row r="562" spans="1:12" x14ac:dyDescent="0.25">
      <c r="A562" t="s">
        <v>580</v>
      </c>
      <c r="B562" t="s">
        <v>20</v>
      </c>
      <c r="C562" s="10">
        <v>45341</v>
      </c>
      <c r="D562" s="18" t="str">
        <f t="shared" si="24"/>
        <v>February</v>
      </c>
      <c r="E562" s="11" t="str">
        <f t="shared" si="25"/>
        <v>2024</v>
      </c>
      <c r="F562" t="s">
        <v>18</v>
      </c>
      <c r="G562" s="2">
        <v>292218</v>
      </c>
      <c r="H562" s="2">
        <v>150070</v>
      </c>
      <c r="I562" s="2">
        <v>4971</v>
      </c>
      <c r="J562" s="2">
        <v>824</v>
      </c>
      <c r="K562" s="2">
        <v>2913</v>
      </c>
      <c r="L562" s="5">
        <f t="shared" si="26"/>
        <v>5.8026254414606515E-2</v>
      </c>
    </row>
    <row r="563" spans="1:12" x14ac:dyDescent="0.25">
      <c r="A563" t="s">
        <v>581</v>
      </c>
      <c r="B563" t="s">
        <v>11</v>
      </c>
      <c r="C563" s="10">
        <v>45495</v>
      </c>
      <c r="D563" s="18" t="str">
        <f t="shared" si="24"/>
        <v>July</v>
      </c>
      <c r="E563" s="11" t="str">
        <f t="shared" si="25"/>
        <v>2024</v>
      </c>
      <c r="F563" t="s">
        <v>32</v>
      </c>
      <c r="G563" s="2">
        <v>2008</v>
      </c>
      <c r="H563" s="2">
        <v>1078</v>
      </c>
      <c r="I563" s="2">
        <v>37</v>
      </c>
      <c r="J563" s="2">
        <v>15</v>
      </c>
      <c r="K563" s="2">
        <v>19</v>
      </c>
      <c r="L563" s="5">
        <f t="shared" si="26"/>
        <v>6.5862708719851573E-2</v>
      </c>
    </row>
    <row r="564" spans="1:12" x14ac:dyDescent="0.25">
      <c r="A564" t="s">
        <v>582</v>
      </c>
      <c r="B564" t="s">
        <v>20</v>
      </c>
      <c r="C564" s="10">
        <v>45819</v>
      </c>
      <c r="D564" s="18" t="str">
        <f t="shared" si="24"/>
        <v>June</v>
      </c>
      <c r="E564" s="11" t="str">
        <f t="shared" si="25"/>
        <v>2025</v>
      </c>
      <c r="F564" t="s">
        <v>24</v>
      </c>
      <c r="G564" s="2">
        <v>186197</v>
      </c>
      <c r="H564" s="2">
        <v>110046</v>
      </c>
      <c r="I564" s="2">
        <v>12065</v>
      </c>
      <c r="J564" s="2">
        <v>3260</v>
      </c>
      <c r="K564" s="2">
        <v>1251</v>
      </c>
      <c r="L564" s="5">
        <f t="shared" si="26"/>
        <v>0.15062791923377497</v>
      </c>
    </row>
    <row r="565" spans="1:12" x14ac:dyDescent="0.25">
      <c r="A565" t="s">
        <v>583</v>
      </c>
      <c r="B565" t="s">
        <v>26</v>
      </c>
      <c r="C565" s="10">
        <v>45360</v>
      </c>
      <c r="D565" s="18" t="str">
        <f t="shared" si="24"/>
        <v>March</v>
      </c>
      <c r="E565" s="11" t="str">
        <f t="shared" si="25"/>
        <v>2024</v>
      </c>
      <c r="F565" t="s">
        <v>15</v>
      </c>
      <c r="G565" s="2">
        <v>10544</v>
      </c>
      <c r="H565" s="2">
        <v>6025</v>
      </c>
      <c r="I565" s="2">
        <v>320</v>
      </c>
      <c r="J565" s="2">
        <v>69</v>
      </c>
      <c r="K565" s="2">
        <v>23</v>
      </c>
      <c r="L565" s="5">
        <f t="shared" si="26"/>
        <v>6.8381742738589213E-2</v>
      </c>
    </row>
    <row r="566" spans="1:12" x14ac:dyDescent="0.25">
      <c r="A566" t="s">
        <v>584</v>
      </c>
      <c r="B566" t="s">
        <v>20</v>
      </c>
      <c r="C566" s="10">
        <v>45702</v>
      </c>
      <c r="D566" s="18" t="str">
        <f t="shared" si="24"/>
        <v>February</v>
      </c>
      <c r="E566" s="11" t="str">
        <f t="shared" si="25"/>
        <v>2025</v>
      </c>
      <c r="F566" t="s">
        <v>18</v>
      </c>
      <c r="G566" s="2">
        <v>150291</v>
      </c>
      <c r="H566" s="2">
        <v>79412</v>
      </c>
      <c r="I566" s="2">
        <v>9221</v>
      </c>
      <c r="J566" s="2">
        <v>888</v>
      </c>
      <c r="K566" s="2">
        <v>1254</v>
      </c>
      <c r="L566" s="5">
        <f t="shared" si="26"/>
        <v>0.14308920566161284</v>
      </c>
    </row>
    <row r="567" spans="1:12" x14ac:dyDescent="0.25">
      <c r="A567" t="s">
        <v>585</v>
      </c>
      <c r="B567" t="s">
        <v>26</v>
      </c>
      <c r="C567" s="10">
        <v>45746</v>
      </c>
      <c r="D567" s="18" t="str">
        <f t="shared" si="24"/>
        <v>March</v>
      </c>
      <c r="E567" s="11" t="str">
        <f t="shared" si="25"/>
        <v>2025</v>
      </c>
      <c r="F567" t="s">
        <v>18</v>
      </c>
      <c r="G567" s="2">
        <v>10578</v>
      </c>
      <c r="H567" s="2">
        <v>6220</v>
      </c>
      <c r="I567" s="2">
        <v>371</v>
      </c>
      <c r="J567" s="2">
        <v>107</v>
      </c>
      <c r="K567" s="2">
        <v>73</v>
      </c>
      <c r="L567" s="5">
        <f t="shared" si="26"/>
        <v>8.858520900321544E-2</v>
      </c>
    </row>
    <row r="568" spans="1:12" x14ac:dyDescent="0.25">
      <c r="A568" t="s">
        <v>586</v>
      </c>
      <c r="B568" t="s">
        <v>20</v>
      </c>
      <c r="C568" s="10">
        <v>45691</v>
      </c>
      <c r="D568" s="18" t="str">
        <f t="shared" si="24"/>
        <v>February</v>
      </c>
      <c r="E568" s="11" t="str">
        <f t="shared" si="25"/>
        <v>2025</v>
      </c>
      <c r="F568" t="s">
        <v>24</v>
      </c>
      <c r="G568" s="2">
        <v>125093</v>
      </c>
      <c r="H568" s="2">
        <v>59574</v>
      </c>
      <c r="I568" s="2">
        <v>1936</v>
      </c>
      <c r="J568" s="2">
        <v>574</v>
      </c>
      <c r="K568" s="2">
        <v>2658</v>
      </c>
      <c r="L568" s="5">
        <f t="shared" si="26"/>
        <v>8.6749253029845236E-2</v>
      </c>
    </row>
    <row r="569" spans="1:12" x14ac:dyDescent="0.25">
      <c r="A569" t="s">
        <v>587</v>
      </c>
      <c r="B569" t="s">
        <v>11</v>
      </c>
      <c r="C569" s="10">
        <v>45533</v>
      </c>
      <c r="D569" s="18" t="str">
        <f t="shared" si="24"/>
        <v>August</v>
      </c>
      <c r="E569" s="11" t="str">
        <f t="shared" si="25"/>
        <v>2024</v>
      </c>
      <c r="F569" t="s">
        <v>32</v>
      </c>
      <c r="G569" s="2">
        <v>34704</v>
      </c>
      <c r="H569" s="2">
        <v>23012</v>
      </c>
      <c r="I569" s="2">
        <v>396</v>
      </c>
      <c r="J569" s="2">
        <v>198</v>
      </c>
      <c r="K569" s="2">
        <v>278</v>
      </c>
      <c r="L569" s="5">
        <f t="shared" si="26"/>
        <v>3.7893273074917432E-2</v>
      </c>
    </row>
    <row r="570" spans="1:12" x14ac:dyDescent="0.25">
      <c r="A570" t="s">
        <v>588</v>
      </c>
      <c r="B570" t="s">
        <v>17</v>
      </c>
      <c r="C570" s="10">
        <v>45850</v>
      </c>
      <c r="D570" s="18" t="str">
        <f t="shared" si="24"/>
        <v>July</v>
      </c>
      <c r="E570" s="11" t="str">
        <f t="shared" si="25"/>
        <v>2025</v>
      </c>
      <c r="F570" t="s">
        <v>12</v>
      </c>
      <c r="G570" s="2">
        <v>9830</v>
      </c>
      <c r="H570" s="2">
        <v>8700</v>
      </c>
      <c r="I570" s="2">
        <v>72</v>
      </c>
      <c r="J570" s="2">
        <v>37</v>
      </c>
      <c r="K570" s="2">
        <v>32</v>
      </c>
      <c r="L570" s="5">
        <f t="shared" si="26"/>
        <v>1.6206896551724137E-2</v>
      </c>
    </row>
    <row r="571" spans="1:12" x14ac:dyDescent="0.25">
      <c r="A571" t="s">
        <v>589</v>
      </c>
      <c r="B571" t="s">
        <v>14</v>
      </c>
      <c r="C571" s="10">
        <v>45414</v>
      </c>
      <c r="D571" s="18" t="str">
        <f t="shared" si="24"/>
        <v>May</v>
      </c>
      <c r="E571" s="11" t="str">
        <f t="shared" si="25"/>
        <v>2024</v>
      </c>
      <c r="F571" t="s">
        <v>15</v>
      </c>
      <c r="G571" s="2">
        <v>16856</v>
      </c>
      <c r="H571" s="2">
        <v>8393</v>
      </c>
      <c r="I571" s="2">
        <v>481</v>
      </c>
      <c r="J571" s="2">
        <v>124</v>
      </c>
      <c r="K571" s="2">
        <v>61</v>
      </c>
      <c r="L571" s="5">
        <f t="shared" si="26"/>
        <v>7.9351840819730735E-2</v>
      </c>
    </row>
    <row r="572" spans="1:12" x14ac:dyDescent="0.25">
      <c r="A572" t="s">
        <v>590</v>
      </c>
      <c r="B572" t="s">
        <v>14</v>
      </c>
      <c r="C572" s="10">
        <v>45704</v>
      </c>
      <c r="D572" s="18" t="str">
        <f t="shared" si="24"/>
        <v>February</v>
      </c>
      <c r="E572" s="11" t="str">
        <f t="shared" si="25"/>
        <v>2025</v>
      </c>
      <c r="F572" t="s">
        <v>24</v>
      </c>
      <c r="G572" s="2">
        <v>10726</v>
      </c>
      <c r="H572" s="2">
        <v>8238</v>
      </c>
      <c r="I572" s="2">
        <v>610</v>
      </c>
      <c r="J572" s="2">
        <v>72</v>
      </c>
      <c r="K572" s="2">
        <v>12</v>
      </c>
      <c r="L572" s="5">
        <f t="shared" si="26"/>
        <v>8.424374848264142E-2</v>
      </c>
    </row>
    <row r="573" spans="1:12" x14ac:dyDescent="0.25">
      <c r="A573" t="s">
        <v>591</v>
      </c>
      <c r="B573" t="s">
        <v>11</v>
      </c>
      <c r="C573" s="10">
        <v>45552</v>
      </c>
      <c r="D573" s="18" t="str">
        <f t="shared" si="24"/>
        <v>September</v>
      </c>
      <c r="E573" s="11" t="str">
        <f t="shared" si="25"/>
        <v>2024</v>
      </c>
      <c r="F573" t="s">
        <v>15</v>
      </c>
      <c r="G573" s="2">
        <v>430</v>
      </c>
      <c r="H573" s="2">
        <v>140</v>
      </c>
      <c r="I573" s="2">
        <v>4</v>
      </c>
      <c r="J573" s="2">
        <v>0</v>
      </c>
      <c r="K573" s="2">
        <v>2</v>
      </c>
      <c r="L573" s="5">
        <f t="shared" si="26"/>
        <v>4.2857142857142858E-2</v>
      </c>
    </row>
    <row r="574" spans="1:12" x14ac:dyDescent="0.25">
      <c r="A574" t="s">
        <v>592</v>
      </c>
      <c r="B574" t="s">
        <v>14</v>
      </c>
      <c r="C574" s="10">
        <v>45542</v>
      </c>
      <c r="D574" s="18" t="str">
        <f t="shared" si="24"/>
        <v>September</v>
      </c>
      <c r="E574" s="11" t="str">
        <f t="shared" si="25"/>
        <v>2024</v>
      </c>
      <c r="F574" t="s">
        <v>18</v>
      </c>
      <c r="G574" s="2">
        <v>39894</v>
      </c>
      <c r="H574" s="2">
        <v>18610</v>
      </c>
      <c r="I574" s="2">
        <v>1028</v>
      </c>
      <c r="J574" s="2">
        <v>93</v>
      </c>
      <c r="K574" s="2">
        <v>49</v>
      </c>
      <c r="L574" s="5">
        <f t="shared" si="26"/>
        <v>6.2869425040300908E-2</v>
      </c>
    </row>
    <row r="575" spans="1:12" x14ac:dyDescent="0.25">
      <c r="A575" t="s">
        <v>593</v>
      </c>
      <c r="B575" t="s">
        <v>17</v>
      </c>
      <c r="C575" s="10">
        <v>45870</v>
      </c>
      <c r="D575" s="18" t="str">
        <f t="shared" si="24"/>
        <v>August</v>
      </c>
      <c r="E575" s="11" t="str">
        <f t="shared" si="25"/>
        <v>2025</v>
      </c>
      <c r="F575" t="s">
        <v>15</v>
      </c>
      <c r="G575" s="2">
        <v>8400</v>
      </c>
      <c r="H575" s="2">
        <v>4395</v>
      </c>
      <c r="I575" s="2">
        <v>82</v>
      </c>
      <c r="J575" s="2">
        <v>30</v>
      </c>
      <c r="K575" s="2">
        <v>10</v>
      </c>
      <c r="L575" s="5">
        <f t="shared" si="26"/>
        <v>2.7758816837315133E-2</v>
      </c>
    </row>
    <row r="576" spans="1:12" x14ac:dyDescent="0.25">
      <c r="A576" t="s">
        <v>594</v>
      </c>
      <c r="B576" t="s">
        <v>11</v>
      </c>
      <c r="C576" s="10">
        <v>45713</v>
      </c>
      <c r="D576" s="18" t="str">
        <f t="shared" si="24"/>
        <v>February</v>
      </c>
      <c r="E576" s="11" t="str">
        <f t="shared" si="25"/>
        <v>2025</v>
      </c>
      <c r="F576" t="s">
        <v>18</v>
      </c>
      <c r="G576" s="2">
        <v>8815</v>
      </c>
      <c r="H576" s="2">
        <v>4648</v>
      </c>
      <c r="I576" s="2">
        <v>155</v>
      </c>
      <c r="J576" s="2">
        <v>83</v>
      </c>
      <c r="K576" s="2">
        <v>59</v>
      </c>
      <c r="L576" s="5">
        <f t="shared" si="26"/>
        <v>6.3898450946643717E-2</v>
      </c>
    </row>
    <row r="577" spans="1:12" x14ac:dyDescent="0.25">
      <c r="A577" t="s">
        <v>595</v>
      </c>
      <c r="B577" t="s">
        <v>20</v>
      </c>
      <c r="C577" s="10">
        <v>45360</v>
      </c>
      <c r="D577" s="18" t="str">
        <f t="shared" si="24"/>
        <v>March</v>
      </c>
      <c r="E577" s="11" t="str">
        <f t="shared" si="25"/>
        <v>2024</v>
      </c>
      <c r="F577" t="s">
        <v>24</v>
      </c>
      <c r="G577" s="2">
        <v>31337</v>
      </c>
      <c r="H577" s="2">
        <v>18849</v>
      </c>
      <c r="I577" s="2">
        <v>1063</v>
      </c>
      <c r="J577" s="2">
        <v>213</v>
      </c>
      <c r="K577" s="2">
        <v>558</v>
      </c>
      <c r="L577" s="5">
        <f t="shared" si="26"/>
        <v>9.7299591490264736E-2</v>
      </c>
    </row>
    <row r="578" spans="1:12" x14ac:dyDescent="0.25">
      <c r="A578" t="s">
        <v>596</v>
      </c>
      <c r="B578" t="s">
        <v>14</v>
      </c>
      <c r="C578" s="10">
        <v>45323</v>
      </c>
      <c r="D578" s="18" t="str">
        <f t="shared" si="24"/>
        <v>February</v>
      </c>
      <c r="E578" s="11" t="str">
        <f t="shared" si="25"/>
        <v>2024</v>
      </c>
      <c r="F578" t="s">
        <v>32</v>
      </c>
      <c r="G578" s="2">
        <v>40741</v>
      </c>
      <c r="H578" s="2">
        <v>30669</v>
      </c>
      <c r="I578" s="2">
        <v>2358</v>
      </c>
      <c r="J578" s="2">
        <v>373</v>
      </c>
      <c r="K578" s="2">
        <v>142</v>
      </c>
      <c r="L578" s="5">
        <f t="shared" si="26"/>
        <v>9.367765496103557E-2</v>
      </c>
    </row>
    <row r="579" spans="1:12" x14ac:dyDescent="0.25">
      <c r="A579" t="s">
        <v>597</v>
      </c>
      <c r="B579" t="s">
        <v>14</v>
      </c>
      <c r="C579" s="10">
        <v>45836</v>
      </c>
      <c r="D579" s="18" t="str">
        <f t="shared" ref="D579:D642" si="27">TEXT($C579,"MMMM")</f>
        <v>June</v>
      </c>
      <c r="E579" s="11" t="str">
        <f t="shared" ref="E579:E642" si="28">TEXT(C579,"yyyy")</f>
        <v>2025</v>
      </c>
      <c r="F579" t="s">
        <v>18</v>
      </c>
      <c r="G579" s="2">
        <v>90765</v>
      </c>
      <c r="H579" s="2">
        <v>39448</v>
      </c>
      <c r="I579" s="2">
        <v>3115</v>
      </c>
      <c r="J579" s="2">
        <v>465</v>
      </c>
      <c r="K579" s="2">
        <v>278</v>
      </c>
      <c r="L579" s="5">
        <f t="shared" ref="L579:L642" si="29">SUM(I579:K579)/H579</f>
        <v>9.7799634962482257E-2</v>
      </c>
    </row>
    <row r="580" spans="1:12" x14ac:dyDescent="0.25">
      <c r="A580" t="s">
        <v>598</v>
      </c>
      <c r="B580" t="s">
        <v>11</v>
      </c>
      <c r="C580" s="10">
        <v>45566</v>
      </c>
      <c r="D580" s="18" t="str">
        <f t="shared" si="27"/>
        <v>October</v>
      </c>
      <c r="E580" s="11" t="str">
        <f t="shared" si="28"/>
        <v>2024</v>
      </c>
      <c r="F580" t="s">
        <v>18</v>
      </c>
      <c r="G580" s="2">
        <v>59087</v>
      </c>
      <c r="H580" s="2">
        <v>26659</v>
      </c>
      <c r="I580" s="2">
        <v>1037</v>
      </c>
      <c r="J580" s="2">
        <v>255</v>
      </c>
      <c r="K580" s="2">
        <v>412</v>
      </c>
      <c r="L580" s="5">
        <f t="shared" si="29"/>
        <v>6.3918376533253315E-2</v>
      </c>
    </row>
    <row r="581" spans="1:12" x14ac:dyDescent="0.25">
      <c r="A581" t="s">
        <v>599</v>
      </c>
      <c r="B581" t="s">
        <v>26</v>
      </c>
      <c r="C581" s="10">
        <v>45994</v>
      </c>
      <c r="D581" s="18" t="str">
        <f t="shared" si="27"/>
        <v>December</v>
      </c>
      <c r="E581" s="11" t="str">
        <f t="shared" si="28"/>
        <v>2025</v>
      </c>
      <c r="F581" t="s">
        <v>15</v>
      </c>
      <c r="G581" s="2">
        <v>10178</v>
      </c>
      <c r="H581" s="2">
        <v>6696</v>
      </c>
      <c r="I581" s="2">
        <v>230</v>
      </c>
      <c r="J581" s="2">
        <v>115</v>
      </c>
      <c r="K581" s="2">
        <v>33</v>
      </c>
      <c r="L581" s="5">
        <f t="shared" si="29"/>
        <v>5.6451612903225805E-2</v>
      </c>
    </row>
    <row r="582" spans="1:12" x14ac:dyDescent="0.25">
      <c r="A582" t="s">
        <v>600</v>
      </c>
      <c r="B582" t="s">
        <v>20</v>
      </c>
      <c r="C582" s="10">
        <v>45830</v>
      </c>
      <c r="D582" s="18" t="str">
        <f t="shared" si="27"/>
        <v>June</v>
      </c>
      <c r="E582" s="11" t="str">
        <f t="shared" si="28"/>
        <v>2025</v>
      </c>
      <c r="F582" t="s">
        <v>24</v>
      </c>
      <c r="G582" s="2">
        <v>93677</v>
      </c>
      <c r="H582" s="2">
        <v>47760</v>
      </c>
      <c r="I582" s="2">
        <v>2519</v>
      </c>
      <c r="J582" s="2">
        <v>767</v>
      </c>
      <c r="K582" s="2">
        <v>1608</v>
      </c>
      <c r="L582" s="5">
        <f t="shared" si="29"/>
        <v>0.10247068676716918</v>
      </c>
    </row>
    <row r="583" spans="1:12" x14ac:dyDescent="0.25">
      <c r="A583" t="s">
        <v>601</v>
      </c>
      <c r="B583" t="s">
        <v>14</v>
      </c>
      <c r="C583" s="10">
        <v>45504</v>
      </c>
      <c r="D583" s="18" t="str">
        <f t="shared" si="27"/>
        <v>July</v>
      </c>
      <c r="E583" s="11" t="str">
        <f t="shared" si="28"/>
        <v>2024</v>
      </c>
      <c r="F583" t="s">
        <v>32</v>
      </c>
      <c r="G583" s="2">
        <v>72995</v>
      </c>
      <c r="H583" s="2">
        <v>57555</v>
      </c>
      <c r="I583" s="2">
        <v>3273</v>
      </c>
      <c r="J583" s="2">
        <v>169</v>
      </c>
      <c r="K583" s="2">
        <v>105</v>
      </c>
      <c r="L583" s="5">
        <f t="shared" si="29"/>
        <v>6.1628007992355141E-2</v>
      </c>
    </row>
    <row r="584" spans="1:12" x14ac:dyDescent="0.25">
      <c r="A584" t="s">
        <v>602</v>
      </c>
      <c r="B584" t="s">
        <v>11</v>
      </c>
      <c r="C584" s="10">
        <v>45944</v>
      </c>
      <c r="D584" s="18" t="str">
        <f t="shared" si="27"/>
        <v>October</v>
      </c>
      <c r="E584" s="11" t="str">
        <f t="shared" si="28"/>
        <v>2025</v>
      </c>
      <c r="F584" t="s">
        <v>12</v>
      </c>
      <c r="G584" s="2">
        <v>4486</v>
      </c>
      <c r="H584" s="2">
        <v>1431</v>
      </c>
      <c r="I584" s="2">
        <v>29</v>
      </c>
      <c r="J584" s="2">
        <v>9</v>
      </c>
      <c r="K584" s="2">
        <v>29</v>
      </c>
      <c r="L584" s="5">
        <f t="shared" si="29"/>
        <v>4.6820405310971348E-2</v>
      </c>
    </row>
    <row r="585" spans="1:12" x14ac:dyDescent="0.25">
      <c r="A585" t="s">
        <v>603</v>
      </c>
      <c r="B585" t="s">
        <v>20</v>
      </c>
      <c r="C585" s="10">
        <v>45901</v>
      </c>
      <c r="D585" s="18" t="str">
        <f t="shared" si="27"/>
        <v>September</v>
      </c>
      <c r="E585" s="11" t="str">
        <f t="shared" si="28"/>
        <v>2025</v>
      </c>
      <c r="F585" t="s">
        <v>18</v>
      </c>
      <c r="G585" s="2">
        <v>237487</v>
      </c>
      <c r="H585" s="2">
        <v>99914</v>
      </c>
      <c r="I585" s="2">
        <v>8276</v>
      </c>
      <c r="J585" s="2">
        <v>1453</v>
      </c>
      <c r="K585" s="2">
        <v>1566</v>
      </c>
      <c r="L585" s="5">
        <f t="shared" si="29"/>
        <v>0.11304722060972436</v>
      </c>
    </row>
    <row r="586" spans="1:12" x14ac:dyDescent="0.25">
      <c r="A586" t="s">
        <v>604</v>
      </c>
      <c r="B586" t="s">
        <v>11</v>
      </c>
      <c r="C586" s="10">
        <v>45691</v>
      </c>
      <c r="D586" s="18" t="str">
        <f t="shared" si="27"/>
        <v>February</v>
      </c>
      <c r="E586" s="11" t="str">
        <f t="shared" si="28"/>
        <v>2025</v>
      </c>
      <c r="F586" t="s">
        <v>12</v>
      </c>
      <c r="G586" s="2">
        <v>10170</v>
      </c>
      <c r="H586" s="2">
        <v>4591</v>
      </c>
      <c r="I586" s="2">
        <v>190</v>
      </c>
      <c r="J586" s="2">
        <v>42</v>
      </c>
      <c r="K586" s="2">
        <v>85</v>
      </c>
      <c r="L586" s="5">
        <f t="shared" si="29"/>
        <v>6.9048137660640385E-2</v>
      </c>
    </row>
    <row r="587" spans="1:12" x14ac:dyDescent="0.25">
      <c r="A587" t="s">
        <v>605</v>
      </c>
      <c r="B587" t="s">
        <v>11</v>
      </c>
      <c r="C587" s="10">
        <v>45495</v>
      </c>
      <c r="D587" s="18" t="str">
        <f t="shared" si="27"/>
        <v>July</v>
      </c>
      <c r="E587" s="11" t="str">
        <f t="shared" si="28"/>
        <v>2024</v>
      </c>
      <c r="F587" t="s">
        <v>32</v>
      </c>
      <c r="G587" s="2">
        <v>27574</v>
      </c>
      <c r="H587" s="2">
        <v>8874</v>
      </c>
      <c r="I587" s="2">
        <v>182</v>
      </c>
      <c r="J587" s="2">
        <v>129</v>
      </c>
      <c r="K587" s="2">
        <v>83</v>
      </c>
      <c r="L587" s="5">
        <f t="shared" si="29"/>
        <v>4.4399368942979488E-2</v>
      </c>
    </row>
    <row r="588" spans="1:12" x14ac:dyDescent="0.25">
      <c r="A588" t="s">
        <v>606</v>
      </c>
      <c r="B588" t="s">
        <v>20</v>
      </c>
      <c r="C588" s="10">
        <v>45511</v>
      </c>
      <c r="D588" s="18" t="str">
        <f t="shared" si="27"/>
        <v>August</v>
      </c>
      <c r="E588" s="11" t="str">
        <f t="shared" si="28"/>
        <v>2024</v>
      </c>
      <c r="F588" t="s">
        <v>18</v>
      </c>
      <c r="G588" s="2">
        <v>352524</v>
      </c>
      <c r="H588" s="2">
        <v>141986</v>
      </c>
      <c r="I588" s="2">
        <v>11532</v>
      </c>
      <c r="J588" s="2">
        <v>983</v>
      </c>
      <c r="K588" s="2">
        <v>2854</v>
      </c>
      <c r="L588" s="5">
        <f t="shared" si="29"/>
        <v>0.10824306621779613</v>
      </c>
    </row>
    <row r="589" spans="1:12" x14ac:dyDescent="0.25">
      <c r="A589" t="s">
        <v>607</v>
      </c>
      <c r="B589" t="s">
        <v>11</v>
      </c>
      <c r="C589" s="10">
        <v>45761</v>
      </c>
      <c r="D589" s="18" t="str">
        <f t="shared" si="27"/>
        <v>April</v>
      </c>
      <c r="E589" s="11" t="str">
        <f t="shared" si="28"/>
        <v>2025</v>
      </c>
      <c r="F589" t="s">
        <v>32</v>
      </c>
      <c r="G589" s="2">
        <v>43587</v>
      </c>
      <c r="H589" s="2">
        <v>19157</v>
      </c>
      <c r="I589" s="2">
        <v>349</v>
      </c>
      <c r="J589" s="2">
        <v>287</v>
      </c>
      <c r="K589" s="2">
        <v>144</v>
      </c>
      <c r="L589" s="5">
        <f t="shared" si="29"/>
        <v>4.0716187294461553E-2</v>
      </c>
    </row>
    <row r="590" spans="1:12" x14ac:dyDescent="0.25">
      <c r="A590" t="s">
        <v>608</v>
      </c>
      <c r="B590" t="s">
        <v>20</v>
      </c>
      <c r="C590" s="10">
        <v>45735</v>
      </c>
      <c r="D590" s="18" t="str">
        <f t="shared" si="27"/>
        <v>March</v>
      </c>
      <c r="E590" s="11" t="str">
        <f t="shared" si="28"/>
        <v>2025</v>
      </c>
      <c r="F590" t="s">
        <v>24</v>
      </c>
      <c r="G590" s="2">
        <v>212134</v>
      </c>
      <c r="H590" s="2">
        <v>64001</v>
      </c>
      <c r="I590" s="2">
        <v>7316</v>
      </c>
      <c r="J590" s="2">
        <v>629</v>
      </c>
      <c r="K590" s="2">
        <v>1698</v>
      </c>
      <c r="L590" s="5">
        <f t="shared" si="29"/>
        <v>0.15066952078873769</v>
      </c>
    </row>
    <row r="591" spans="1:12" x14ac:dyDescent="0.25">
      <c r="A591" t="s">
        <v>609</v>
      </c>
      <c r="B591" t="s">
        <v>14</v>
      </c>
      <c r="C591" s="10">
        <v>46007</v>
      </c>
      <c r="D591" s="18" t="str">
        <f t="shared" si="27"/>
        <v>December</v>
      </c>
      <c r="E591" s="11" t="str">
        <f t="shared" si="28"/>
        <v>2025</v>
      </c>
      <c r="F591" t="s">
        <v>32</v>
      </c>
      <c r="G591" s="2">
        <v>40971</v>
      </c>
      <c r="H591" s="2">
        <v>24583</v>
      </c>
      <c r="I591" s="2">
        <v>1757</v>
      </c>
      <c r="J591" s="2">
        <v>204</v>
      </c>
      <c r="K591" s="2">
        <v>198</v>
      </c>
      <c r="L591" s="5">
        <f t="shared" si="29"/>
        <v>8.7824919659927586E-2</v>
      </c>
    </row>
    <row r="592" spans="1:12" x14ac:dyDescent="0.25">
      <c r="A592" t="s">
        <v>610</v>
      </c>
      <c r="B592" t="s">
        <v>20</v>
      </c>
      <c r="C592" s="10">
        <v>45499</v>
      </c>
      <c r="D592" s="18" t="str">
        <f t="shared" si="27"/>
        <v>July</v>
      </c>
      <c r="E592" s="11" t="str">
        <f t="shared" si="28"/>
        <v>2024</v>
      </c>
      <c r="F592" t="s">
        <v>24</v>
      </c>
      <c r="G592" s="2">
        <v>335537</v>
      </c>
      <c r="H592" s="2">
        <v>139187</v>
      </c>
      <c r="I592" s="2">
        <v>5211</v>
      </c>
      <c r="J592" s="2">
        <v>2098</v>
      </c>
      <c r="K592" s="2">
        <v>4949</v>
      </c>
      <c r="L592" s="5">
        <f t="shared" si="29"/>
        <v>8.8068569622162987E-2</v>
      </c>
    </row>
    <row r="593" spans="1:12" x14ac:dyDescent="0.25">
      <c r="A593" t="s">
        <v>611</v>
      </c>
      <c r="B593" t="s">
        <v>20</v>
      </c>
      <c r="C593" s="10">
        <v>45671</v>
      </c>
      <c r="D593" s="18" t="str">
        <f t="shared" si="27"/>
        <v>January</v>
      </c>
      <c r="E593" s="11" t="str">
        <f t="shared" si="28"/>
        <v>2025</v>
      </c>
      <c r="F593" t="s">
        <v>24</v>
      </c>
      <c r="G593" s="2">
        <v>131357</v>
      </c>
      <c r="H593" s="2">
        <v>89146</v>
      </c>
      <c r="I593" s="2">
        <v>2771</v>
      </c>
      <c r="J593" s="2">
        <v>2281</v>
      </c>
      <c r="K593" s="2">
        <v>1327</v>
      </c>
      <c r="L593" s="5">
        <f t="shared" si="29"/>
        <v>7.155677203688332E-2</v>
      </c>
    </row>
    <row r="594" spans="1:12" x14ac:dyDescent="0.25">
      <c r="A594" t="s">
        <v>612</v>
      </c>
      <c r="B594" t="s">
        <v>11</v>
      </c>
      <c r="C594" s="10">
        <v>46016</v>
      </c>
      <c r="D594" s="18" t="str">
        <f t="shared" si="27"/>
        <v>December</v>
      </c>
      <c r="E594" s="11" t="str">
        <f t="shared" si="28"/>
        <v>2025</v>
      </c>
      <c r="F594" t="s">
        <v>15</v>
      </c>
      <c r="G594" s="2">
        <v>5270</v>
      </c>
      <c r="H594" s="2">
        <v>3016</v>
      </c>
      <c r="I594" s="2">
        <v>56</v>
      </c>
      <c r="J594" s="2">
        <v>48</v>
      </c>
      <c r="K594" s="2">
        <v>36</v>
      </c>
      <c r="L594" s="5">
        <f t="shared" si="29"/>
        <v>4.6419098143236075E-2</v>
      </c>
    </row>
    <row r="595" spans="1:12" x14ac:dyDescent="0.25">
      <c r="A595" t="s">
        <v>613</v>
      </c>
      <c r="B595" t="s">
        <v>17</v>
      </c>
      <c r="C595" s="10">
        <v>45437</v>
      </c>
      <c r="D595" s="18" t="str">
        <f t="shared" si="27"/>
        <v>May</v>
      </c>
      <c r="E595" s="11" t="str">
        <f t="shared" si="28"/>
        <v>2024</v>
      </c>
      <c r="F595" t="s">
        <v>15</v>
      </c>
      <c r="G595" s="2">
        <v>4484</v>
      </c>
      <c r="H595" s="2">
        <v>2836</v>
      </c>
      <c r="I595" s="2">
        <v>65</v>
      </c>
      <c r="J595" s="2">
        <v>11</v>
      </c>
      <c r="K595" s="2">
        <v>11</v>
      </c>
      <c r="L595" s="5">
        <f t="shared" si="29"/>
        <v>3.067700987306065E-2</v>
      </c>
    </row>
    <row r="596" spans="1:12" x14ac:dyDescent="0.25">
      <c r="A596" t="s">
        <v>614</v>
      </c>
      <c r="B596" t="s">
        <v>14</v>
      </c>
      <c r="C596" s="10">
        <v>45996</v>
      </c>
      <c r="D596" s="18" t="str">
        <f t="shared" si="27"/>
        <v>December</v>
      </c>
      <c r="E596" s="11" t="str">
        <f t="shared" si="28"/>
        <v>2025</v>
      </c>
      <c r="F596" t="s">
        <v>15</v>
      </c>
      <c r="G596" s="2">
        <v>20916</v>
      </c>
      <c r="H596" s="2">
        <v>12784</v>
      </c>
      <c r="I596" s="2">
        <v>388</v>
      </c>
      <c r="J596" s="2">
        <v>93</v>
      </c>
      <c r="K596" s="2">
        <v>102</v>
      </c>
      <c r="L596" s="5">
        <f t="shared" si="29"/>
        <v>4.5603879849812262E-2</v>
      </c>
    </row>
    <row r="597" spans="1:12" x14ac:dyDescent="0.25">
      <c r="A597" t="s">
        <v>615</v>
      </c>
      <c r="B597" t="s">
        <v>26</v>
      </c>
      <c r="C597" s="10">
        <v>45742</v>
      </c>
      <c r="D597" s="18" t="str">
        <f t="shared" si="27"/>
        <v>March</v>
      </c>
      <c r="E597" s="11" t="str">
        <f t="shared" si="28"/>
        <v>2025</v>
      </c>
      <c r="F597" t="s">
        <v>32</v>
      </c>
      <c r="G597" s="2">
        <v>5694</v>
      </c>
      <c r="H597" s="2">
        <v>2972</v>
      </c>
      <c r="I597" s="2">
        <v>80</v>
      </c>
      <c r="J597" s="2">
        <v>16</v>
      </c>
      <c r="K597" s="2">
        <v>29</v>
      </c>
      <c r="L597" s="5">
        <f t="shared" si="29"/>
        <v>4.2059219380888288E-2</v>
      </c>
    </row>
    <row r="598" spans="1:12" x14ac:dyDescent="0.25">
      <c r="A598" t="s">
        <v>616</v>
      </c>
      <c r="B598" t="s">
        <v>17</v>
      </c>
      <c r="C598" s="10">
        <v>45524</v>
      </c>
      <c r="D598" s="18" t="str">
        <f t="shared" si="27"/>
        <v>August</v>
      </c>
      <c r="E598" s="11" t="str">
        <f t="shared" si="28"/>
        <v>2024</v>
      </c>
      <c r="F598" t="s">
        <v>15</v>
      </c>
      <c r="G598" s="2">
        <v>19943</v>
      </c>
      <c r="H598" s="2">
        <v>13635</v>
      </c>
      <c r="I598" s="2">
        <v>284</v>
      </c>
      <c r="J598" s="2">
        <v>18</v>
      </c>
      <c r="K598" s="2">
        <v>188</v>
      </c>
      <c r="L598" s="5">
        <f t="shared" si="29"/>
        <v>3.5936927026035938E-2</v>
      </c>
    </row>
    <row r="599" spans="1:12" x14ac:dyDescent="0.25">
      <c r="A599" t="s">
        <v>617</v>
      </c>
      <c r="B599" t="s">
        <v>14</v>
      </c>
      <c r="C599" s="10">
        <v>45538</v>
      </c>
      <c r="D599" s="18" t="str">
        <f t="shared" si="27"/>
        <v>September</v>
      </c>
      <c r="E599" s="11" t="str">
        <f t="shared" si="28"/>
        <v>2024</v>
      </c>
      <c r="F599" t="s">
        <v>18</v>
      </c>
      <c r="G599" s="2">
        <v>32370</v>
      </c>
      <c r="H599" s="2">
        <v>19733</v>
      </c>
      <c r="I599" s="2">
        <v>511</v>
      </c>
      <c r="J599" s="2">
        <v>174</v>
      </c>
      <c r="K599" s="2">
        <v>134</v>
      </c>
      <c r="L599" s="5">
        <f t="shared" si="29"/>
        <v>4.1504079460801702E-2</v>
      </c>
    </row>
    <row r="600" spans="1:12" x14ac:dyDescent="0.25">
      <c r="A600" t="s">
        <v>618</v>
      </c>
      <c r="B600" t="s">
        <v>26</v>
      </c>
      <c r="C600" s="10">
        <v>45929</v>
      </c>
      <c r="D600" s="18" t="str">
        <f t="shared" si="27"/>
        <v>September</v>
      </c>
      <c r="E600" s="11" t="str">
        <f t="shared" si="28"/>
        <v>2025</v>
      </c>
      <c r="F600" t="s">
        <v>12</v>
      </c>
      <c r="G600" s="2">
        <v>3743</v>
      </c>
      <c r="H600" s="2">
        <v>2527</v>
      </c>
      <c r="I600" s="2">
        <v>46</v>
      </c>
      <c r="J600" s="2">
        <v>54</v>
      </c>
      <c r="K600" s="2">
        <v>20</v>
      </c>
      <c r="L600" s="5">
        <f t="shared" si="29"/>
        <v>4.7487138899881279E-2</v>
      </c>
    </row>
    <row r="601" spans="1:12" x14ac:dyDescent="0.25">
      <c r="A601" t="s">
        <v>619</v>
      </c>
      <c r="B601" t="s">
        <v>11</v>
      </c>
      <c r="C601" s="10">
        <v>45782</v>
      </c>
      <c r="D601" s="18" t="str">
        <f t="shared" si="27"/>
        <v>May</v>
      </c>
      <c r="E601" s="11" t="str">
        <f t="shared" si="28"/>
        <v>2025</v>
      </c>
      <c r="F601" t="s">
        <v>32</v>
      </c>
      <c r="G601" s="2">
        <v>985</v>
      </c>
      <c r="H601" s="2">
        <v>595</v>
      </c>
      <c r="I601" s="2">
        <v>12</v>
      </c>
      <c r="J601" s="2">
        <v>11</v>
      </c>
      <c r="K601" s="2">
        <v>16</v>
      </c>
      <c r="L601" s="5">
        <f t="shared" si="29"/>
        <v>6.5546218487394961E-2</v>
      </c>
    </row>
    <row r="602" spans="1:12" x14ac:dyDescent="0.25">
      <c r="A602" t="s">
        <v>620</v>
      </c>
      <c r="B602" t="s">
        <v>14</v>
      </c>
      <c r="C602" s="10">
        <v>45965</v>
      </c>
      <c r="D602" s="18" t="str">
        <f t="shared" si="27"/>
        <v>November</v>
      </c>
      <c r="E602" s="11" t="str">
        <f t="shared" si="28"/>
        <v>2025</v>
      </c>
      <c r="F602" t="s">
        <v>32</v>
      </c>
      <c r="G602" s="2">
        <v>59877</v>
      </c>
      <c r="H602" s="2">
        <v>28609</v>
      </c>
      <c r="I602" s="2">
        <v>1482</v>
      </c>
      <c r="J602" s="2">
        <v>114</v>
      </c>
      <c r="K602" s="2">
        <v>34</v>
      </c>
      <c r="L602" s="5">
        <f t="shared" si="29"/>
        <v>5.6975077772728859E-2</v>
      </c>
    </row>
    <row r="603" spans="1:12" x14ac:dyDescent="0.25">
      <c r="A603" t="s">
        <v>621</v>
      </c>
      <c r="B603" t="s">
        <v>17</v>
      </c>
      <c r="C603" s="10">
        <v>45551</v>
      </c>
      <c r="D603" s="18" t="str">
        <f t="shared" si="27"/>
        <v>September</v>
      </c>
      <c r="E603" s="11" t="str">
        <f t="shared" si="28"/>
        <v>2024</v>
      </c>
      <c r="F603" t="s">
        <v>12</v>
      </c>
      <c r="G603" s="2">
        <v>13715</v>
      </c>
      <c r="H603" s="2">
        <v>9874</v>
      </c>
      <c r="I603" s="2">
        <v>126</v>
      </c>
      <c r="J603" s="2">
        <v>78</v>
      </c>
      <c r="K603" s="2">
        <v>183</v>
      </c>
      <c r="L603" s="5">
        <f t="shared" si="29"/>
        <v>3.9193842414421712E-2</v>
      </c>
    </row>
    <row r="604" spans="1:12" x14ac:dyDescent="0.25">
      <c r="A604" t="s">
        <v>622</v>
      </c>
      <c r="B604" t="s">
        <v>11</v>
      </c>
      <c r="C604" s="10">
        <v>45751</v>
      </c>
      <c r="D604" s="18" t="str">
        <f t="shared" si="27"/>
        <v>April</v>
      </c>
      <c r="E604" s="11" t="str">
        <f t="shared" si="28"/>
        <v>2025</v>
      </c>
      <c r="F604" t="s">
        <v>18</v>
      </c>
      <c r="G604" s="2">
        <v>64617</v>
      </c>
      <c r="H604" s="2">
        <v>29828</v>
      </c>
      <c r="I604" s="2">
        <v>1223</v>
      </c>
      <c r="J604" s="2">
        <v>462</v>
      </c>
      <c r="K604" s="2">
        <v>805</v>
      </c>
      <c r="L604" s="5">
        <f t="shared" si="29"/>
        <v>8.3478610701354428E-2</v>
      </c>
    </row>
    <row r="605" spans="1:12" x14ac:dyDescent="0.25">
      <c r="A605" t="s">
        <v>623</v>
      </c>
      <c r="B605" t="s">
        <v>17</v>
      </c>
      <c r="C605" s="10">
        <v>45865</v>
      </c>
      <c r="D605" s="18" t="str">
        <f t="shared" si="27"/>
        <v>July</v>
      </c>
      <c r="E605" s="11" t="str">
        <f t="shared" si="28"/>
        <v>2025</v>
      </c>
      <c r="F605" t="s">
        <v>18</v>
      </c>
      <c r="G605" s="2">
        <v>51684</v>
      </c>
      <c r="H605" s="2">
        <v>33219</v>
      </c>
      <c r="I605" s="2">
        <v>461</v>
      </c>
      <c r="J605" s="2">
        <v>233</v>
      </c>
      <c r="K605" s="2">
        <v>575</v>
      </c>
      <c r="L605" s="5">
        <f t="shared" si="29"/>
        <v>3.8201029531292334E-2</v>
      </c>
    </row>
    <row r="606" spans="1:12" x14ac:dyDescent="0.25">
      <c r="A606" t="s">
        <v>624</v>
      </c>
      <c r="B606" t="s">
        <v>26</v>
      </c>
      <c r="C606" s="10">
        <v>45807</v>
      </c>
      <c r="D606" s="18" t="str">
        <f t="shared" si="27"/>
        <v>May</v>
      </c>
      <c r="E606" s="11" t="str">
        <f t="shared" si="28"/>
        <v>2025</v>
      </c>
      <c r="F606" t="s">
        <v>12</v>
      </c>
      <c r="G606" s="2">
        <v>12490</v>
      </c>
      <c r="H606" s="2">
        <v>5469</v>
      </c>
      <c r="I606" s="2">
        <v>277</v>
      </c>
      <c r="J606" s="2">
        <v>108</v>
      </c>
      <c r="K606" s="2">
        <v>34</v>
      </c>
      <c r="L606" s="5">
        <f t="shared" si="29"/>
        <v>7.6613640519290552E-2</v>
      </c>
    </row>
    <row r="607" spans="1:12" x14ac:dyDescent="0.25">
      <c r="A607" t="s">
        <v>625</v>
      </c>
      <c r="B607" t="s">
        <v>26</v>
      </c>
      <c r="C607" s="10">
        <v>45812</v>
      </c>
      <c r="D607" s="18" t="str">
        <f t="shared" si="27"/>
        <v>June</v>
      </c>
      <c r="E607" s="11" t="str">
        <f t="shared" si="28"/>
        <v>2025</v>
      </c>
      <c r="F607" t="s">
        <v>32</v>
      </c>
      <c r="G607" s="2">
        <v>23813</v>
      </c>
      <c r="H607" s="2">
        <v>9670</v>
      </c>
      <c r="I607" s="2">
        <v>159</v>
      </c>
      <c r="J607" s="2">
        <v>65</v>
      </c>
      <c r="K607" s="2">
        <v>74</v>
      </c>
      <c r="L607" s="5">
        <f t="shared" si="29"/>
        <v>3.0816959669079626E-2</v>
      </c>
    </row>
    <row r="608" spans="1:12" x14ac:dyDescent="0.25">
      <c r="A608" t="s">
        <v>626</v>
      </c>
      <c r="B608" t="s">
        <v>20</v>
      </c>
      <c r="C608" s="10">
        <v>45410</v>
      </c>
      <c r="D608" s="18" t="str">
        <f t="shared" si="27"/>
        <v>April</v>
      </c>
      <c r="E608" s="11" t="str">
        <f t="shared" si="28"/>
        <v>2024</v>
      </c>
      <c r="F608" t="s">
        <v>24</v>
      </c>
      <c r="G608" s="2">
        <v>257734</v>
      </c>
      <c r="H608" s="2">
        <v>167895</v>
      </c>
      <c r="I608" s="2">
        <v>5785</v>
      </c>
      <c r="J608" s="2">
        <v>1085</v>
      </c>
      <c r="K608" s="2">
        <v>6677</v>
      </c>
      <c r="L608" s="5">
        <f t="shared" si="29"/>
        <v>8.0687334345870929E-2</v>
      </c>
    </row>
    <row r="609" spans="1:12" x14ac:dyDescent="0.25">
      <c r="A609" t="s">
        <v>627</v>
      </c>
      <c r="B609" t="s">
        <v>20</v>
      </c>
      <c r="C609" s="10">
        <v>45561</v>
      </c>
      <c r="D609" s="18" t="str">
        <f t="shared" si="27"/>
        <v>September</v>
      </c>
      <c r="E609" s="11" t="str">
        <f t="shared" si="28"/>
        <v>2024</v>
      </c>
      <c r="F609" t="s">
        <v>18</v>
      </c>
      <c r="G609" s="2">
        <v>23805</v>
      </c>
      <c r="H609" s="2">
        <v>12937</v>
      </c>
      <c r="I609" s="2">
        <v>946</v>
      </c>
      <c r="J609" s="2">
        <v>138</v>
      </c>
      <c r="K609" s="2">
        <v>332</v>
      </c>
      <c r="L609" s="5">
        <f t="shared" si="29"/>
        <v>0.10945350544948597</v>
      </c>
    </row>
    <row r="610" spans="1:12" x14ac:dyDescent="0.25">
      <c r="A610" t="s">
        <v>628</v>
      </c>
      <c r="B610" t="s">
        <v>20</v>
      </c>
      <c r="C610" s="10">
        <v>45798</v>
      </c>
      <c r="D610" s="18" t="str">
        <f t="shared" si="27"/>
        <v>May</v>
      </c>
      <c r="E610" s="11" t="str">
        <f t="shared" si="28"/>
        <v>2025</v>
      </c>
      <c r="F610" t="s">
        <v>24</v>
      </c>
      <c r="G610" s="2">
        <v>225861</v>
      </c>
      <c r="H610" s="2">
        <v>80749</v>
      </c>
      <c r="I610" s="2">
        <v>8334</v>
      </c>
      <c r="J610" s="2">
        <v>2281</v>
      </c>
      <c r="K610" s="2">
        <v>2464</v>
      </c>
      <c r="L610" s="5">
        <f t="shared" si="29"/>
        <v>0.16197104608106602</v>
      </c>
    </row>
    <row r="611" spans="1:12" x14ac:dyDescent="0.25">
      <c r="A611" t="s">
        <v>629</v>
      </c>
      <c r="B611" t="s">
        <v>14</v>
      </c>
      <c r="C611" s="10">
        <v>45886</v>
      </c>
      <c r="D611" s="18" t="str">
        <f t="shared" si="27"/>
        <v>August</v>
      </c>
      <c r="E611" s="11" t="str">
        <f t="shared" si="28"/>
        <v>2025</v>
      </c>
      <c r="F611" t="s">
        <v>24</v>
      </c>
      <c r="G611" s="2">
        <v>32439</v>
      </c>
      <c r="H611" s="2">
        <v>24893</v>
      </c>
      <c r="I611" s="2">
        <v>1522</v>
      </c>
      <c r="J611" s="2">
        <v>250</v>
      </c>
      <c r="K611" s="2">
        <v>126</v>
      </c>
      <c r="L611" s="5">
        <f t="shared" si="29"/>
        <v>7.6246334310850442E-2</v>
      </c>
    </row>
    <row r="612" spans="1:12" x14ac:dyDescent="0.25">
      <c r="A612" t="s">
        <v>630</v>
      </c>
      <c r="B612" t="s">
        <v>14</v>
      </c>
      <c r="C612" s="10">
        <v>45473</v>
      </c>
      <c r="D612" s="18" t="str">
        <f t="shared" si="27"/>
        <v>June</v>
      </c>
      <c r="E612" s="11" t="str">
        <f t="shared" si="28"/>
        <v>2024</v>
      </c>
      <c r="F612" t="s">
        <v>32</v>
      </c>
      <c r="G612" s="2">
        <v>57901</v>
      </c>
      <c r="H612" s="2">
        <v>37650</v>
      </c>
      <c r="I612" s="2">
        <v>1623</v>
      </c>
      <c r="J612" s="2">
        <v>445</v>
      </c>
      <c r="K612" s="2">
        <v>126</v>
      </c>
      <c r="L612" s="5">
        <f t="shared" si="29"/>
        <v>5.8273572377158037E-2</v>
      </c>
    </row>
    <row r="613" spans="1:12" x14ac:dyDescent="0.25">
      <c r="A613" t="s">
        <v>631</v>
      </c>
      <c r="B613" t="s">
        <v>26</v>
      </c>
      <c r="C613" s="10">
        <v>45794</v>
      </c>
      <c r="D613" s="18" t="str">
        <f t="shared" si="27"/>
        <v>May</v>
      </c>
      <c r="E613" s="11" t="str">
        <f t="shared" si="28"/>
        <v>2025</v>
      </c>
      <c r="F613" t="s">
        <v>32</v>
      </c>
      <c r="G613" s="2">
        <v>19096</v>
      </c>
      <c r="H613" s="2">
        <v>11955</v>
      </c>
      <c r="I613" s="2">
        <v>182</v>
      </c>
      <c r="J613" s="2">
        <v>270</v>
      </c>
      <c r="K613" s="2">
        <v>159</v>
      </c>
      <c r="L613" s="5">
        <f t="shared" si="29"/>
        <v>5.1108322877457132E-2</v>
      </c>
    </row>
    <row r="614" spans="1:12" x14ac:dyDescent="0.25">
      <c r="A614" t="s">
        <v>632</v>
      </c>
      <c r="B614" t="s">
        <v>14</v>
      </c>
      <c r="C614" s="10">
        <v>45423</v>
      </c>
      <c r="D614" s="18" t="str">
        <f t="shared" si="27"/>
        <v>May</v>
      </c>
      <c r="E614" s="11" t="str">
        <f t="shared" si="28"/>
        <v>2024</v>
      </c>
      <c r="F614" t="s">
        <v>15</v>
      </c>
      <c r="G614" s="2">
        <v>4308</v>
      </c>
      <c r="H614" s="2">
        <v>2949</v>
      </c>
      <c r="I614" s="2">
        <v>143</v>
      </c>
      <c r="J614" s="2">
        <v>12</v>
      </c>
      <c r="K614" s="2">
        <v>16</v>
      </c>
      <c r="L614" s="5">
        <f t="shared" si="29"/>
        <v>5.7985757884028481E-2</v>
      </c>
    </row>
    <row r="615" spans="1:12" x14ac:dyDescent="0.25">
      <c r="A615" t="s">
        <v>633</v>
      </c>
      <c r="B615" t="s">
        <v>20</v>
      </c>
      <c r="C615" s="10">
        <v>45771</v>
      </c>
      <c r="D615" s="18" t="str">
        <f t="shared" si="27"/>
        <v>April</v>
      </c>
      <c r="E615" s="11" t="str">
        <f t="shared" si="28"/>
        <v>2025</v>
      </c>
      <c r="F615" t="s">
        <v>24</v>
      </c>
      <c r="G615" s="2">
        <v>374495</v>
      </c>
      <c r="H615" s="2">
        <v>174291</v>
      </c>
      <c r="I615" s="2">
        <v>13416</v>
      </c>
      <c r="J615" s="2">
        <v>3573</v>
      </c>
      <c r="K615" s="2">
        <v>8458</v>
      </c>
      <c r="L615" s="5">
        <f t="shared" si="29"/>
        <v>0.14600294909088823</v>
      </c>
    </row>
    <row r="616" spans="1:12" x14ac:dyDescent="0.25">
      <c r="A616" t="s">
        <v>634</v>
      </c>
      <c r="B616" t="s">
        <v>20</v>
      </c>
      <c r="C616" s="10">
        <v>45852</v>
      </c>
      <c r="D616" s="18" t="str">
        <f t="shared" si="27"/>
        <v>July</v>
      </c>
      <c r="E616" s="11" t="str">
        <f t="shared" si="28"/>
        <v>2025</v>
      </c>
      <c r="F616" t="s">
        <v>24</v>
      </c>
      <c r="G616" s="2">
        <v>305982</v>
      </c>
      <c r="H616" s="2">
        <v>126621</v>
      </c>
      <c r="I616" s="2">
        <v>6294</v>
      </c>
      <c r="J616" s="2">
        <v>1307</v>
      </c>
      <c r="K616" s="2">
        <v>2027</v>
      </c>
      <c r="L616" s="5">
        <f t="shared" si="29"/>
        <v>7.6037939994155784E-2</v>
      </c>
    </row>
    <row r="617" spans="1:12" x14ac:dyDescent="0.25">
      <c r="A617" t="s">
        <v>635</v>
      </c>
      <c r="B617" t="s">
        <v>14</v>
      </c>
      <c r="C617" s="10">
        <v>46005</v>
      </c>
      <c r="D617" s="18" t="str">
        <f t="shared" si="27"/>
        <v>December</v>
      </c>
      <c r="E617" s="11" t="str">
        <f t="shared" si="28"/>
        <v>2025</v>
      </c>
      <c r="F617" t="s">
        <v>18</v>
      </c>
      <c r="G617" s="2">
        <v>78081</v>
      </c>
      <c r="H617" s="2">
        <v>46642</v>
      </c>
      <c r="I617" s="2">
        <v>1676</v>
      </c>
      <c r="J617" s="2">
        <v>643</v>
      </c>
      <c r="K617" s="2">
        <v>228</v>
      </c>
      <c r="L617" s="5">
        <f t="shared" si="29"/>
        <v>5.4607435358689595E-2</v>
      </c>
    </row>
    <row r="618" spans="1:12" x14ac:dyDescent="0.25">
      <c r="A618" t="s">
        <v>636</v>
      </c>
      <c r="B618" t="s">
        <v>11</v>
      </c>
      <c r="C618" s="10">
        <v>45447</v>
      </c>
      <c r="D618" s="18" t="str">
        <f t="shared" si="27"/>
        <v>June</v>
      </c>
      <c r="E618" s="11" t="str">
        <f t="shared" si="28"/>
        <v>2024</v>
      </c>
      <c r="F618" t="s">
        <v>12</v>
      </c>
      <c r="G618" s="2">
        <v>5666</v>
      </c>
      <c r="H618" s="2">
        <v>2551</v>
      </c>
      <c r="I618" s="2">
        <v>121</v>
      </c>
      <c r="J618" s="2">
        <v>24</v>
      </c>
      <c r="K618" s="2">
        <v>59</v>
      </c>
      <c r="L618" s="5">
        <f t="shared" si="29"/>
        <v>7.9968639749117998E-2</v>
      </c>
    </row>
    <row r="619" spans="1:12" x14ac:dyDescent="0.25">
      <c r="A619" t="s">
        <v>637</v>
      </c>
      <c r="B619" t="s">
        <v>20</v>
      </c>
      <c r="C619" s="10">
        <v>45705</v>
      </c>
      <c r="D619" s="18" t="str">
        <f t="shared" si="27"/>
        <v>February</v>
      </c>
      <c r="E619" s="11" t="str">
        <f t="shared" si="28"/>
        <v>2025</v>
      </c>
      <c r="F619" t="s">
        <v>18</v>
      </c>
      <c r="G619" s="2">
        <v>282470</v>
      </c>
      <c r="H619" s="2">
        <v>186650</v>
      </c>
      <c r="I619" s="2">
        <v>9599</v>
      </c>
      <c r="J619" s="2">
        <v>3836</v>
      </c>
      <c r="K619" s="2">
        <v>7693</v>
      </c>
      <c r="L619" s="5">
        <f t="shared" si="29"/>
        <v>0.11319582105545138</v>
      </c>
    </row>
    <row r="620" spans="1:12" x14ac:dyDescent="0.25">
      <c r="A620" t="s">
        <v>638</v>
      </c>
      <c r="B620" t="s">
        <v>11</v>
      </c>
      <c r="C620" s="10">
        <v>45634</v>
      </c>
      <c r="D620" s="18" t="str">
        <f t="shared" si="27"/>
        <v>December</v>
      </c>
      <c r="E620" s="11" t="str">
        <f t="shared" si="28"/>
        <v>2024</v>
      </c>
      <c r="F620" t="s">
        <v>15</v>
      </c>
      <c r="G620" s="2">
        <v>8276</v>
      </c>
      <c r="H620" s="2">
        <v>4573</v>
      </c>
      <c r="I620" s="2">
        <v>96</v>
      </c>
      <c r="J620" s="2">
        <v>75</v>
      </c>
      <c r="K620" s="2">
        <v>90</v>
      </c>
      <c r="L620" s="5">
        <f t="shared" si="29"/>
        <v>5.7074130767548657E-2</v>
      </c>
    </row>
    <row r="621" spans="1:12" x14ac:dyDescent="0.25">
      <c r="A621" t="s">
        <v>639</v>
      </c>
      <c r="B621" t="s">
        <v>17</v>
      </c>
      <c r="C621" s="10">
        <v>45696</v>
      </c>
      <c r="D621" s="18" t="str">
        <f t="shared" si="27"/>
        <v>February</v>
      </c>
      <c r="E621" s="11" t="str">
        <f t="shared" si="28"/>
        <v>2025</v>
      </c>
      <c r="F621" t="s">
        <v>15</v>
      </c>
      <c r="G621" s="2">
        <v>14687</v>
      </c>
      <c r="H621" s="2">
        <v>11612</v>
      </c>
      <c r="I621" s="2">
        <v>127</v>
      </c>
      <c r="J621" s="2">
        <v>23</v>
      </c>
      <c r="K621" s="2">
        <v>63</v>
      </c>
      <c r="L621" s="5">
        <f t="shared" si="29"/>
        <v>1.8343093351705132E-2</v>
      </c>
    </row>
    <row r="622" spans="1:12" x14ac:dyDescent="0.25">
      <c r="A622" t="s">
        <v>640</v>
      </c>
      <c r="B622" t="s">
        <v>17</v>
      </c>
      <c r="C622" s="10">
        <v>45574</v>
      </c>
      <c r="D622" s="18" t="str">
        <f t="shared" si="27"/>
        <v>October</v>
      </c>
      <c r="E622" s="11" t="str">
        <f t="shared" si="28"/>
        <v>2024</v>
      </c>
      <c r="F622" t="s">
        <v>12</v>
      </c>
      <c r="G622" s="2">
        <v>8640</v>
      </c>
      <c r="H622" s="2">
        <v>6048</v>
      </c>
      <c r="I622" s="2">
        <v>127</v>
      </c>
      <c r="J622" s="2">
        <v>38</v>
      </c>
      <c r="K622" s="2">
        <v>53</v>
      </c>
      <c r="L622" s="5">
        <f t="shared" si="29"/>
        <v>3.6044973544973546E-2</v>
      </c>
    </row>
    <row r="623" spans="1:12" x14ac:dyDescent="0.25">
      <c r="A623" t="s">
        <v>641</v>
      </c>
      <c r="B623" t="s">
        <v>26</v>
      </c>
      <c r="C623" s="10">
        <v>45983</v>
      </c>
      <c r="D623" s="18" t="str">
        <f t="shared" si="27"/>
        <v>November</v>
      </c>
      <c r="E623" s="11" t="str">
        <f t="shared" si="28"/>
        <v>2025</v>
      </c>
      <c r="F623" t="s">
        <v>12</v>
      </c>
      <c r="G623" s="2">
        <v>11681</v>
      </c>
      <c r="H623" s="2">
        <v>8863</v>
      </c>
      <c r="I623" s="2">
        <v>407</v>
      </c>
      <c r="J623" s="2">
        <v>183</v>
      </c>
      <c r="K623" s="2">
        <v>71</v>
      </c>
      <c r="L623" s="5">
        <f t="shared" si="29"/>
        <v>7.457971341532213E-2</v>
      </c>
    </row>
    <row r="624" spans="1:12" x14ac:dyDescent="0.25">
      <c r="A624" t="s">
        <v>642</v>
      </c>
      <c r="B624" t="s">
        <v>20</v>
      </c>
      <c r="C624" s="10">
        <v>45747</v>
      </c>
      <c r="D624" s="18" t="str">
        <f t="shared" si="27"/>
        <v>March</v>
      </c>
      <c r="E624" s="11" t="str">
        <f t="shared" si="28"/>
        <v>2025</v>
      </c>
      <c r="F624" t="s">
        <v>18</v>
      </c>
      <c r="G624" s="2">
        <v>382426</v>
      </c>
      <c r="H624" s="2">
        <v>151935</v>
      </c>
      <c r="I624" s="2">
        <v>17874</v>
      </c>
      <c r="J624" s="2">
        <v>1085</v>
      </c>
      <c r="K624" s="2">
        <v>1646</v>
      </c>
      <c r="L624" s="5">
        <f t="shared" si="29"/>
        <v>0.13561720472570507</v>
      </c>
    </row>
    <row r="625" spans="1:12" x14ac:dyDescent="0.25">
      <c r="A625" t="s">
        <v>643</v>
      </c>
      <c r="B625" t="s">
        <v>17</v>
      </c>
      <c r="C625" s="10">
        <v>45322</v>
      </c>
      <c r="D625" s="18" t="str">
        <f t="shared" si="27"/>
        <v>January</v>
      </c>
      <c r="E625" s="11" t="str">
        <f t="shared" si="28"/>
        <v>2024</v>
      </c>
      <c r="F625" t="s">
        <v>15</v>
      </c>
      <c r="G625" s="2">
        <v>4755</v>
      </c>
      <c r="H625" s="2">
        <v>4004</v>
      </c>
      <c r="I625" s="2">
        <v>36</v>
      </c>
      <c r="J625" s="2">
        <v>12</v>
      </c>
      <c r="K625" s="2">
        <v>30</v>
      </c>
      <c r="L625" s="5">
        <f t="shared" si="29"/>
        <v>1.948051948051948E-2</v>
      </c>
    </row>
    <row r="626" spans="1:12" x14ac:dyDescent="0.25">
      <c r="A626" t="s">
        <v>644</v>
      </c>
      <c r="B626" t="s">
        <v>17</v>
      </c>
      <c r="C626" s="10">
        <v>45556</v>
      </c>
      <c r="D626" s="18" t="str">
        <f t="shared" si="27"/>
        <v>September</v>
      </c>
      <c r="E626" s="11" t="str">
        <f t="shared" si="28"/>
        <v>2024</v>
      </c>
      <c r="F626" t="s">
        <v>18</v>
      </c>
      <c r="G626" s="2">
        <v>56581</v>
      </c>
      <c r="H626" s="2">
        <v>39633</v>
      </c>
      <c r="I626" s="2">
        <v>457</v>
      </c>
      <c r="J626" s="2">
        <v>260</v>
      </c>
      <c r="K626" s="2">
        <v>237</v>
      </c>
      <c r="L626" s="5">
        <f t="shared" si="29"/>
        <v>2.4070850049201422E-2</v>
      </c>
    </row>
    <row r="627" spans="1:12" x14ac:dyDescent="0.25">
      <c r="A627" t="s">
        <v>645</v>
      </c>
      <c r="B627" t="s">
        <v>17</v>
      </c>
      <c r="C627" s="10">
        <v>45382</v>
      </c>
      <c r="D627" s="18" t="str">
        <f t="shared" si="27"/>
        <v>March</v>
      </c>
      <c r="E627" s="11" t="str">
        <f t="shared" si="28"/>
        <v>2024</v>
      </c>
      <c r="F627" t="s">
        <v>12</v>
      </c>
      <c r="G627" s="2">
        <v>13892</v>
      </c>
      <c r="H627" s="2">
        <v>9761</v>
      </c>
      <c r="I627" s="2">
        <v>108</v>
      </c>
      <c r="J627" s="2">
        <v>71</v>
      </c>
      <c r="K627" s="2">
        <v>142</v>
      </c>
      <c r="L627" s="5">
        <f t="shared" si="29"/>
        <v>3.2885974797664176E-2</v>
      </c>
    </row>
    <row r="628" spans="1:12" x14ac:dyDescent="0.25">
      <c r="A628" t="s">
        <v>646</v>
      </c>
      <c r="B628" t="s">
        <v>14</v>
      </c>
      <c r="C628" s="10">
        <v>45543</v>
      </c>
      <c r="D628" s="18" t="str">
        <f t="shared" si="27"/>
        <v>September</v>
      </c>
      <c r="E628" s="11" t="str">
        <f t="shared" si="28"/>
        <v>2024</v>
      </c>
      <c r="F628" t="s">
        <v>32</v>
      </c>
      <c r="G628" s="2">
        <v>66709</v>
      </c>
      <c r="H628" s="2">
        <v>49001</v>
      </c>
      <c r="I628" s="2">
        <v>1938</v>
      </c>
      <c r="J628" s="2">
        <v>402</v>
      </c>
      <c r="K628" s="2">
        <v>197</v>
      </c>
      <c r="L628" s="5">
        <f t="shared" si="29"/>
        <v>5.1774453582579948E-2</v>
      </c>
    </row>
    <row r="629" spans="1:12" x14ac:dyDescent="0.25">
      <c r="A629" t="s">
        <v>647</v>
      </c>
      <c r="B629" t="s">
        <v>14</v>
      </c>
      <c r="C629" s="10">
        <v>45392</v>
      </c>
      <c r="D629" s="18" t="str">
        <f t="shared" si="27"/>
        <v>April</v>
      </c>
      <c r="E629" s="11" t="str">
        <f t="shared" si="28"/>
        <v>2024</v>
      </c>
      <c r="F629" t="s">
        <v>15</v>
      </c>
      <c r="G629" s="2">
        <v>24231</v>
      </c>
      <c r="H629" s="2">
        <v>17799</v>
      </c>
      <c r="I629" s="2">
        <v>556</v>
      </c>
      <c r="J629" s="2">
        <v>245</v>
      </c>
      <c r="K629" s="2">
        <v>128</v>
      </c>
      <c r="L629" s="5">
        <f t="shared" si="29"/>
        <v>5.2193943479970785E-2</v>
      </c>
    </row>
    <row r="630" spans="1:12" x14ac:dyDescent="0.25">
      <c r="A630" t="s">
        <v>648</v>
      </c>
      <c r="B630" t="s">
        <v>17</v>
      </c>
      <c r="C630" s="10">
        <v>45431</v>
      </c>
      <c r="D630" s="18" t="str">
        <f t="shared" si="27"/>
        <v>May</v>
      </c>
      <c r="E630" s="11" t="str">
        <f t="shared" si="28"/>
        <v>2024</v>
      </c>
      <c r="F630" t="s">
        <v>18</v>
      </c>
      <c r="G630" s="2">
        <v>30676</v>
      </c>
      <c r="H630" s="2">
        <v>22601</v>
      </c>
      <c r="I630" s="2">
        <v>580</v>
      </c>
      <c r="J630" s="2">
        <v>37</v>
      </c>
      <c r="K630" s="2">
        <v>284</v>
      </c>
      <c r="L630" s="5">
        <f t="shared" si="29"/>
        <v>3.9865492677315165E-2</v>
      </c>
    </row>
    <row r="631" spans="1:12" x14ac:dyDescent="0.25">
      <c r="A631" t="s">
        <v>649</v>
      </c>
      <c r="B631" t="s">
        <v>14</v>
      </c>
      <c r="C631" s="10">
        <v>45952</v>
      </c>
      <c r="D631" s="18" t="str">
        <f t="shared" si="27"/>
        <v>October</v>
      </c>
      <c r="E631" s="11" t="str">
        <f t="shared" si="28"/>
        <v>2025</v>
      </c>
      <c r="F631" t="s">
        <v>24</v>
      </c>
      <c r="G631" s="2">
        <v>43458</v>
      </c>
      <c r="H631" s="2">
        <v>22086</v>
      </c>
      <c r="I631" s="2">
        <v>806</v>
      </c>
      <c r="J631" s="2">
        <v>132</v>
      </c>
      <c r="K631" s="2">
        <v>155</v>
      </c>
      <c r="L631" s="5">
        <f t="shared" si="29"/>
        <v>4.9488363669292768E-2</v>
      </c>
    </row>
    <row r="632" spans="1:12" x14ac:dyDescent="0.25">
      <c r="A632" t="s">
        <v>650</v>
      </c>
      <c r="B632" t="s">
        <v>14</v>
      </c>
      <c r="C632" s="10">
        <v>45618</v>
      </c>
      <c r="D632" s="18" t="str">
        <f t="shared" si="27"/>
        <v>November</v>
      </c>
      <c r="E632" s="11" t="str">
        <f t="shared" si="28"/>
        <v>2024</v>
      </c>
      <c r="F632" t="s">
        <v>15</v>
      </c>
      <c r="G632" s="2">
        <v>24339</v>
      </c>
      <c r="H632" s="2">
        <v>11601</v>
      </c>
      <c r="I632" s="2">
        <v>686</v>
      </c>
      <c r="J632" s="2">
        <v>112</v>
      </c>
      <c r="K632" s="2">
        <v>107</v>
      </c>
      <c r="L632" s="5">
        <f t="shared" si="29"/>
        <v>7.8010516334798718E-2</v>
      </c>
    </row>
    <row r="633" spans="1:12" x14ac:dyDescent="0.25">
      <c r="A633" t="s">
        <v>651</v>
      </c>
      <c r="B633" t="s">
        <v>17</v>
      </c>
      <c r="C633" s="10">
        <v>45306</v>
      </c>
      <c r="D633" s="18" t="str">
        <f t="shared" si="27"/>
        <v>January</v>
      </c>
      <c r="E633" s="11" t="str">
        <f t="shared" si="28"/>
        <v>2024</v>
      </c>
      <c r="F633" t="s">
        <v>15</v>
      </c>
      <c r="G633" s="2">
        <v>23608</v>
      </c>
      <c r="H633" s="2">
        <v>14578</v>
      </c>
      <c r="I633" s="2">
        <v>419</v>
      </c>
      <c r="J633" s="2">
        <v>103</v>
      </c>
      <c r="K633" s="2">
        <v>210</v>
      </c>
      <c r="L633" s="5">
        <f t="shared" si="29"/>
        <v>5.0212649197420772E-2</v>
      </c>
    </row>
    <row r="634" spans="1:12" x14ac:dyDescent="0.25">
      <c r="A634" t="s">
        <v>652</v>
      </c>
      <c r="B634" t="s">
        <v>11</v>
      </c>
      <c r="C634" s="10">
        <v>45776</v>
      </c>
      <c r="D634" s="18" t="str">
        <f t="shared" si="27"/>
        <v>April</v>
      </c>
      <c r="E634" s="11" t="str">
        <f t="shared" si="28"/>
        <v>2025</v>
      </c>
      <c r="F634" t="s">
        <v>12</v>
      </c>
      <c r="G634" s="2">
        <v>3498</v>
      </c>
      <c r="H634" s="2">
        <v>2312</v>
      </c>
      <c r="I634" s="2">
        <v>77</v>
      </c>
      <c r="J634" s="2">
        <v>18</v>
      </c>
      <c r="K634" s="2">
        <v>53</v>
      </c>
      <c r="L634" s="5">
        <f t="shared" si="29"/>
        <v>6.4013840830449822E-2</v>
      </c>
    </row>
    <row r="635" spans="1:12" x14ac:dyDescent="0.25">
      <c r="A635" t="s">
        <v>653</v>
      </c>
      <c r="B635" t="s">
        <v>17</v>
      </c>
      <c r="C635" s="10">
        <v>45585</v>
      </c>
      <c r="D635" s="18" t="str">
        <f t="shared" si="27"/>
        <v>October</v>
      </c>
      <c r="E635" s="11" t="str">
        <f t="shared" si="28"/>
        <v>2024</v>
      </c>
      <c r="F635" t="s">
        <v>12</v>
      </c>
      <c r="G635" s="2">
        <v>11898</v>
      </c>
      <c r="H635" s="2">
        <v>10271</v>
      </c>
      <c r="I635" s="2">
        <v>276</v>
      </c>
      <c r="J635" s="2">
        <v>51</v>
      </c>
      <c r="K635" s="2">
        <v>155</v>
      </c>
      <c r="L635" s="5">
        <f t="shared" si="29"/>
        <v>4.6928244572096191E-2</v>
      </c>
    </row>
    <row r="636" spans="1:12" x14ac:dyDescent="0.25">
      <c r="A636" t="s">
        <v>654</v>
      </c>
      <c r="B636" t="s">
        <v>26</v>
      </c>
      <c r="C636" s="10">
        <v>45807</v>
      </c>
      <c r="D636" s="18" t="str">
        <f t="shared" si="27"/>
        <v>May</v>
      </c>
      <c r="E636" s="11" t="str">
        <f t="shared" si="28"/>
        <v>2025</v>
      </c>
      <c r="F636" t="s">
        <v>12</v>
      </c>
      <c r="G636" s="2">
        <v>2644</v>
      </c>
      <c r="H636" s="2">
        <v>1864</v>
      </c>
      <c r="I636" s="2">
        <v>34</v>
      </c>
      <c r="J636" s="2">
        <v>17</v>
      </c>
      <c r="K636" s="2">
        <v>20</v>
      </c>
      <c r="L636" s="5">
        <f t="shared" si="29"/>
        <v>3.8090128755364806E-2</v>
      </c>
    </row>
    <row r="637" spans="1:12" x14ac:dyDescent="0.25">
      <c r="A637" t="s">
        <v>655</v>
      </c>
      <c r="B637" t="s">
        <v>26</v>
      </c>
      <c r="C637" s="10">
        <v>45780</v>
      </c>
      <c r="D637" s="18" t="str">
        <f t="shared" si="27"/>
        <v>May</v>
      </c>
      <c r="E637" s="11" t="str">
        <f t="shared" si="28"/>
        <v>2025</v>
      </c>
      <c r="F637" t="s">
        <v>32</v>
      </c>
      <c r="G637" s="2">
        <v>16074</v>
      </c>
      <c r="H637" s="2">
        <v>7842</v>
      </c>
      <c r="I637" s="2">
        <v>276</v>
      </c>
      <c r="J637" s="2">
        <v>105</v>
      </c>
      <c r="K637" s="2">
        <v>84</v>
      </c>
      <c r="L637" s="5">
        <f t="shared" si="29"/>
        <v>5.9296097934200459E-2</v>
      </c>
    </row>
    <row r="638" spans="1:12" x14ac:dyDescent="0.25">
      <c r="A638" t="s">
        <v>656</v>
      </c>
      <c r="B638" t="s">
        <v>14</v>
      </c>
      <c r="C638" s="10">
        <v>45836</v>
      </c>
      <c r="D638" s="18" t="str">
        <f t="shared" si="27"/>
        <v>June</v>
      </c>
      <c r="E638" s="11" t="str">
        <f t="shared" si="28"/>
        <v>2025</v>
      </c>
      <c r="F638" t="s">
        <v>15</v>
      </c>
      <c r="G638" s="2">
        <v>5607</v>
      </c>
      <c r="H638" s="2">
        <v>3909</v>
      </c>
      <c r="I638" s="2">
        <v>251</v>
      </c>
      <c r="J638" s="2">
        <v>37</v>
      </c>
      <c r="K638" s="2">
        <v>11</v>
      </c>
      <c r="L638" s="5">
        <f t="shared" si="29"/>
        <v>7.6490150933742646E-2</v>
      </c>
    </row>
    <row r="639" spans="1:12" x14ac:dyDescent="0.25">
      <c r="A639" t="s">
        <v>657</v>
      </c>
      <c r="B639" t="s">
        <v>20</v>
      </c>
      <c r="C639" s="10">
        <v>45866</v>
      </c>
      <c r="D639" s="18" t="str">
        <f t="shared" si="27"/>
        <v>July</v>
      </c>
      <c r="E639" s="11" t="str">
        <f t="shared" si="28"/>
        <v>2025</v>
      </c>
      <c r="F639" t="s">
        <v>18</v>
      </c>
      <c r="G639" s="2">
        <v>355683</v>
      </c>
      <c r="H639" s="2">
        <v>209786</v>
      </c>
      <c r="I639" s="2">
        <v>22369</v>
      </c>
      <c r="J639" s="2">
        <v>5374</v>
      </c>
      <c r="K639" s="2">
        <v>5279</v>
      </c>
      <c r="L639" s="5">
        <f t="shared" si="29"/>
        <v>0.15740802532104145</v>
      </c>
    </row>
    <row r="640" spans="1:12" x14ac:dyDescent="0.25">
      <c r="A640" t="s">
        <v>658</v>
      </c>
      <c r="B640" t="s">
        <v>26</v>
      </c>
      <c r="C640" s="10">
        <v>45618</v>
      </c>
      <c r="D640" s="18" t="str">
        <f t="shared" si="27"/>
        <v>November</v>
      </c>
      <c r="E640" s="11" t="str">
        <f t="shared" si="28"/>
        <v>2024</v>
      </c>
      <c r="F640" t="s">
        <v>32</v>
      </c>
      <c r="G640" s="2">
        <v>24289</v>
      </c>
      <c r="H640" s="2">
        <v>13668</v>
      </c>
      <c r="I640" s="2">
        <v>552</v>
      </c>
      <c r="J640" s="2">
        <v>140</v>
      </c>
      <c r="K640" s="2">
        <v>120</v>
      </c>
      <c r="L640" s="5">
        <f t="shared" si="29"/>
        <v>5.9408838162130523E-2</v>
      </c>
    </row>
    <row r="641" spans="1:12" x14ac:dyDescent="0.25">
      <c r="A641" t="s">
        <v>659</v>
      </c>
      <c r="B641" t="s">
        <v>17</v>
      </c>
      <c r="C641" s="10">
        <v>45672</v>
      </c>
      <c r="D641" s="18" t="str">
        <f t="shared" si="27"/>
        <v>January</v>
      </c>
      <c r="E641" s="11" t="str">
        <f t="shared" si="28"/>
        <v>2025</v>
      </c>
      <c r="F641" t="s">
        <v>18</v>
      </c>
      <c r="G641" s="2">
        <v>47511</v>
      </c>
      <c r="H641" s="2">
        <v>30956</v>
      </c>
      <c r="I641" s="2">
        <v>836</v>
      </c>
      <c r="J641" s="2">
        <v>31</v>
      </c>
      <c r="K641" s="2">
        <v>371</v>
      </c>
      <c r="L641" s="5">
        <f t="shared" si="29"/>
        <v>3.9992247060343711E-2</v>
      </c>
    </row>
    <row r="642" spans="1:12" x14ac:dyDescent="0.25">
      <c r="A642" t="s">
        <v>660</v>
      </c>
      <c r="B642" t="s">
        <v>17</v>
      </c>
      <c r="C642" s="10">
        <v>46002</v>
      </c>
      <c r="D642" s="18" t="str">
        <f t="shared" si="27"/>
        <v>December</v>
      </c>
      <c r="E642" s="11" t="str">
        <f t="shared" si="28"/>
        <v>2025</v>
      </c>
      <c r="F642" t="s">
        <v>15</v>
      </c>
      <c r="G642" s="2">
        <v>12122</v>
      </c>
      <c r="H642" s="2">
        <v>6898</v>
      </c>
      <c r="I642" s="2">
        <v>100</v>
      </c>
      <c r="J642" s="2">
        <v>19</v>
      </c>
      <c r="K642" s="2">
        <v>108</v>
      </c>
      <c r="L642" s="5">
        <f t="shared" si="29"/>
        <v>3.2908089301246737E-2</v>
      </c>
    </row>
    <row r="643" spans="1:12" x14ac:dyDescent="0.25">
      <c r="A643" t="s">
        <v>661</v>
      </c>
      <c r="B643" t="s">
        <v>20</v>
      </c>
      <c r="C643" s="10">
        <v>45818</v>
      </c>
      <c r="D643" s="18" t="str">
        <f t="shared" ref="D643:D706" si="30">TEXT($C643,"MMMM")</f>
        <v>June</v>
      </c>
      <c r="E643" s="11" t="str">
        <f t="shared" ref="E643:E706" si="31">TEXT(C643,"yyyy")</f>
        <v>2025</v>
      </c>
      <c r="F643" t="s">
        <v>24</v>
      </c>
      <c r="G643" s="2">
        <v>24844</v>
      </c>
      <c r="H643" s="2">
        <v>13213</v>
      </c>
      <c r="I643" s="2">
        <v>1483</v>
      </c>
      <c r="J643" s="2">
        <v>150</v>
      </c>
      <c r="K643" s="2">
        <v>471</v>
      </c>
      <c r="L643" s="5">
        <f t="shared" ref="L643:L706" si="32">SUM(I643:K643)/H643</f>
        <v>0.1592371149625369</v>
      </c>
    </row>
    <row r="644" spans="1:12" x14ac:dyDescent="0.25">
      <c r="A644" t="s">
        <v>662</v>
      </c>
      <c r="B644" t="s">
        <v>14</v>
      </c>
      <c r="C644" s="10">
        <v>45588</v>
      </c>
      <c r="D644" s="18" t="str">
        <f t="shared" si="30"/>
        <v>October</v>
      </c>
      <c r="E644" s="11" t="str">
        <f t="shared" si="31"/>
        <v>2024</v>
      </c>
      <c r="F644" t="s">
        <v>24</v>
      </c>
      <c r="G644" s="2">
        <v>72162</v>
      </c>
      <c r="H644" s="2">
        <v>32445</v>
      </c>
      <c r="I644" s="2">
        <v>1120</v>
      </c>
      <c r="J644" s="2">
        <v>100</v>
      </c>
      <c r="K644" s="2">
        <v>71</v>
      </c>
      <c r="L644" s="5">
        <f t="shared" si="32"/>
        <v>3.97904145476961E-2</v>
      </c>
    </row>
    <row r="645" spans="1:12" x14ac:dyDescent="0.25">
      <c r="A645" t="s">
        <v>663</v>
      </c>
      <c r="B645" t="s">
        <v>17</v>
      </c>
      <c r="C645" s="10">
        <v>45957</v>
      </c>
      <c r="D645" s="18" t="str">
        <f t="shared" si="30"/>
        <v>October</v>
      </c>
      <c r="E645" s="11" t="str">
        <f t="shared" si="31"/>
        <v>2025</v>
      </c>
      <c r="F645" t="s">
        <v>12</v>
      </c>
      <c r="G645" s="2">
        <v>9855</v>
      </c>
      <c r="H645" s="2">
        <v>8639</v>
      </c>
      <c r="I645" s="2">
        <v>165</v>
      </c>
      <c r="J645" s="2">
        <v>13</v>
      </c>
      <c r="K645" s="2">
        <v>75</v>
      </c>
      <c r="L645" s="5">
        <f t="shared" si="32"/>
        <v>2.9285796967241578E-2</v>
      </c>
    </row>
    <row r="646" spans="1:12" x14ac:dyDescent="0.25">
      <c r="A646" t="s">
        <v>664</v>
      </c>
      <c r="B646" t="s">
        <v>11</v>
      </c>
      <c r="C646" s="10">
        <v>45923</v>
      </c>
      <c r="D646" s="18" t="str">
        <f t="shared" si="30"/>
        <v>September</v>
      </c>
      <c r="E646" s="11" t="str">
        <f t="shared" si="31"/>
        <v>2025</v>
      </c>
      <c r="F646" t="s">
        <v>12</v>
      </c>
      <c r="G646" s="2">
        <v>1464</v>
      </c>
      <c r="H646" s="2">
        <v>623</v>
      </c>
      <c r="I646" s="2">
        <v>18</v>
      </c>
      <c r="J646" s="2">
        <v>4</v>
      </c>
      <c r="K646" s="2">
        <v>10</v>
      </c>
      <c r="L646" s="5">
        <f t="shared" si="32"/>
        <v>5.1364365971107544E-2</v>
      </c>
    </row>
    <row r="647" spans="1:12" x14ac:dyDescent="0.25">
      <c r="A647" t="s">
        <v>665</v>
      </c>
      <c r="B647" t="s">
        <v>14</v>
      </c>
      <c r="C647" s="10">
        <v>45506</v>
      </c>
      <c r="D647" s="18" t="str">
        <f t="shared" si="30"/>
        <v>August</v>
      </c>
      <c r="E647" s="11" t="str">
        <f t="shared" si="31"/>
        <v>2024</v>
      </c>
      <c r="F647" t="s">
        <v>15</v>
      </c>
      <c r="G647" s="2">
        <v>43874</v>
      </c>
      <c r="H647" s="2">
        <v>28603</v>
      </c>
      <c r="I647" s="2">
        <v>2132</v>
      </c>
      <c r="J647" s="2">
        <v>362</v>
      </c>
      <c r="K647" s="2">
        <v>160</v>
      </c>
      <c r="L647" s="5">
        <f t="shared" si="32"/>
        <v>9.2787469845820369E-2</v>
      </c>
    </row>
    <row r="648" spans="1:12" x14ac:dyDescent="0.25">
      <c r="A648" t="s">
        <v>666</v>
      </c>
      <c r="B648" t="s">
        <v>20</v>
      </c>
      <c r="C648" s="10">
        <v>45910</v>
      </c>
      <c r="D648" s="18" t="str">
        <f t="shared" si="30"/>
        <v>September</v>
      </c>
      <c r="E648" s="11" t="str">
        <f t="shared" si="31"/>
        <v>2025</v>
      </c>
      <c r="F648" t="s">
        <v>18</v>
      </c>
      <c r="G648" s="2">
        <v>351288</v>
      </c>
      <c r="H648" s="2">
        <v>199282</v>
      </c>
      <c r="I648" s="2">
        <v>8103</v>
      </c>
      <c r="J648" s="2">
        <v>5764</v>
      </c>
      <c r="K648" s="2">
        <v>4943</v>
      </c>
      <c r="L648" s="5">
        <f t="shared" si="32"/>
        <v>9.4388855993014928E-2</v>
      </c>
    </row>
    <row r="649" spans="1:12" x14ac:dyDescent="0.25">
      <c r="A649" t="s">
        <v>667</v>
      </c>
      <c r="B649" t="s">
        <v>26</v>
      </c>
      <c r="C649" s="10">
        <v>45457</v>
      </c>
      <c r="D649" s="18" t="str">
        <f t="shared" si="30"/>
        <v>June</v>
      </c>
      <c r="E649" s="11" t="str">
        <f t="shared" si="31"/>
        <v>2024</v>
      </c>
      <c r="F649" t="s">
        <v>12</v>
      </c>
      <c r="G649" s="2">
        <v>1882</v>
      </c>
      <c r="H649" s="2">
        <v>1085</v>
      </c>
      <c r="I649" s="2">
        <v>51</v>
      </c>
      <c r="J649" s="2">
        <v>21</v>
      </c>
      <c r="K649" s="2">
        <v>5</v>
      </c>
      <c r="L649" s="5">
        <f t="shared" si="32"/>
        <v>7.0967741935483872E-2</v>
      </c>
    </row>
    <row r="650" spans="1:12" x14ac:dyDescent="0.25">
      <c r="A650" t="s">
        <v>668</v>
      </c>
      <c r="B650" t="s">
        <v>14</v>
      </c>
      <c r="C650" s="10">
        <v>45552</v>
      </c>
      <c r="D650" s="18" t="str">
        <f t="shared" si="30"/>
        <v>September</v>
      </c>
      <c r="E650" s="11" t="str">
        <f t="shared" si="31"/>
        <v>2024</v>
      </c>
      <c r="F650" t="s">
        <v>24</v>
      </c>
      <c r="G650" s="2">
        <v>57041</v>
      </c>
      <c r="H650" s="2">
        <v>29781</v>
      </c>
      <c r="I650" s="2">
        <v>1820</v>
      </c>
      <c r="J650" s="2">
        <v>343</v>
      </c>
      <c r="K650" s="2">
        <v>146</v>
      </c>
      <c r="L650" s="5">
        <f t="shared" si="32"/>
        <v>7.7532655048520874E-2</v>
      </c>
    </row>
    <row r="651" spans="1:12" x14ac:dyDescent="0.25">
      <c r="A651" t="s">
        <v>669</v>
      </c>
      <c r="B651" t="s">
        <v>17</v>
      </c>
      <c r="C651" s="10">
        <v>45503</v>
      </c>
      <c r="D651" s="18" t="str">
        <f t="shared" si="30"/>
        <v>July</v>
      </c>
      <c r="E651" s="11" t="str">
        <f t="shared" si="31"/>
        <v>2024</v>
      </c>
      <c r="F651" t="s">
        <v>15</v>
      </c>
      <c r="G651" s="2">
        <v>8908</v>
      </c>
      <c r="H651" s="2">
        <v>6596</v>
      </c>
      <c r="I651" s="2">
        <v>96</v>
      </c>
      <c r="J651" s="2">
        <v>44</v>
      </c>
      <c r="K651" s="2">
        <v>92</v>
      </c>
      <c r="L651" s="5">
        <f t="shared" si="32"/>
        <v>3.51728320194057E-2</v>
      </c>
    </row>
    <row r="652" spans="1:12" x14ac:dyDescent="0.25">
      <c r="A652" t="s">
        <v>670</v>
      </c>
      <c r="B652" t="s">
        <v>14</v>
      </c>
      <c r="C652" s="10">
        <v>45584</v>
      </c>
      <c r="D652" s="18" t="str">
        <f t="shared" si="30"/>
        <v>October</v>
      </c>
      <c r="E652" s="11" t="str">
        <f t="shared" si="31"/>
        <v>2024</v>
      </c>
      <c r="F652" t="s">
        <v>15</v>
      </c>
      <c r="G652" s="2">
        <v>47214</v>
      </c>
      <c r="H652" s="2">
        <v>28846</v>
      </c>
      <c r="I652" s="2">
        <v>835</v>
      </c>
      <c r="J652" s="2">
        <v>359</v>
      </c>
      <c r="K652" s="2">
        <v>194</v>
      </c>
      <c r="L652" s="5">
        <f t="shared" si="32"/>
        <v>4.8117589960479788E-2</v>
      </c>
    </row>
    <row r="653" spans="1:12" x14ac:dyDescent="0.25">
      <c r="A653" t="s">
        <v>671</v>
      </c>
      <c r="B653" t="s">
        <v>26</v>
      </c>
      <c r="C653" s="10">
        <v>45970</v>
      </c>
      <c r="D653" s="18" t="str">
        <f t="shared" si="30"/>
        <v>November</v>
      </c>
      <c r="E653" s="11" t="str">
        <f t="shared" si="31"/>
        <v>2025</v>
      </c>
      <c r="F653" t="s">
        <v>32</v>
      </c>
      <c r="G653" s="2">
        <v>7636</v>
      </c>
      <c r="H653" s="2">
        <v>4927</v>
      </c>
      <c r="I653" s="2">
        <v>86</v>
      </c>
      <c r="J653" s="2">
        <v>42</v>
      </c>
      <c r="K653" s="2">
        <v>24</v>
      </c>
      <c r="L653" s="5">
        <f t="shared" si="32"/>
        <v>3.0850416074690482E-2</v>
      </c>
    </row>
    <row r="654" spans="1:12" x14ac:dyDescent="0.25">
      <c r="A654" t="s">
        <v>672</v>
      </c>
      <c r="B654" t="s">
        <v>17</v>
      </c>
      <c r="C654" s="10">
        <v>45868</v>
      </c>
      <c r="D654" s="18" t="str">
        <f t="shared" si="30"/>
        <v>July</v>
      </c>
      <c r="E654" s="11" t="str">
        <f t="shared" si="31"/>
        <v>2025</v>
      </c>
      <c r="F654" t="s">
        <v>18</v>
      </c>
      <c r="G654" s="2">
        <v>11649</v>
      </c>
      <c r="H654" s="2">
        <v>10003</v>
      </c>
      <c r="I654" s="2">
        <v>121</v>
      </c>
      <c r="J654" s="2">
        <v>78</v>
      </c>
      <c r="K654" s="2">
        <v>73</v>
      </c>
      <c r="L654" s="5">
        <f t="shared" si="32"/>
        <v>2.7191842447265819E-2</v>
      </c>
    </row>
    <row r="655" spans="1:12" x14ac:dyDescent="0.25">
      <c r="A655" t="s">
        <v>673</v>
      </c>
      <c r="B655" t="s">
        <v>14</v>
      </c>
      <c r="C655" s="10">
        <v>45368</v>
      </c>
      <c r="D655" s="18" t="str">
        <f t="shared" si="30"/>
        <v>March</v>
      </c>
      <c r="E655" s="11" t="str">
        <f t="shared" si="31"/>
        <v>2024</v>
      </c>
      <c r="F655" t="s">
        <v>32</v>
      </c>
      <c r="G655" s="2">
        <v>15732</v>
      </c>
      <c r="H655" s="2">
        <v>10566</v>
      </c>
      <c r="I655" s="2">
        <v>390</v>
      </c>
      <c r="J655" s="2">
        <v>51</v>
      </c>
      <c r="K655" s="2">
        <v>88</v>
      </c>
      <c r="L655" s="5">
        <f t="shared" si="32"/>
        <v>5.006625023660799E-2</v>
      </c>
    </row>
    <row r="656" spans="1:12" x14ac:dyDescent="0.25">
      <c r="A656" t="s">
        <v>674</v>
      </c>
      <c r="B656" t="s">
        <v>11</v>
      </c>
      <c r="C656" s="10">
        <v>45457</v>
      </c>
      <c r="D656" s="18" t="str">
        <f t="shared" si="30"/>
        <v>June</v>
      </c>
      <c r="E656" s="11" t="str">
        <f t="shared" si="31"/>
        <v>2024</v>
      </c>
      <c r="F656" t="s">
        <v>32</v>
      </c>
      <c r="G656" s="2">
        <v>30427</v>
      </c>
      <c r="H656" s="2">
        <v>10288</v>
      </c>
      <c r="I656" s="2">
        <v>271</v>
      </c>
      <c r="J656" s="2">
        <v>114</v>
      </c>
      <c r="K656" s="2">
        <v>133</v>
      </c>
      <c r="L656" s="5">
        <f t="shared" si="32"/>
        <v>5.0349922239502333E-2</v>
      </c>
    </row>
    <row r="657" spans="1:12" x14ac:dyDescent="0.25">
      <c r="A657" t="s">
        <v>675</v>
      </c>
      <c r="B657" t="s">
        <v>20</v>
      </c>
      <c r="C657" s="10">
        <v>45414</v>
      </c>
      <c r="D657" s="18" t="str">
        <f t="shared" si="30"/>
        <v>May</v>
      </c>
      <c r="E657" s="11" t="str">
        <f t="shared" si="31"/>
        <v>2024</v>
      </c>
      <c r="F657" t="s">
        <v>18</v>
      </c>
      <c r="G657" s="2">
        <v>165315</v>
      </c>
      <c r="H657" s="2">
        <v>60150</v>
      </c>
      <c r="I657" s="2">
        <v>4425</v>
      </c>
      <c r="J657" s="2">
        <v>1246</v>
      </c>
      <c r="K657" s="2">
        <v>2176</v>
      </c>
      <c r="L657" s="5">
        <f t="shared" si="32"/>
        <v>0.13045719035743975</v>
      </c>
    </row>
    <row r="658" spans="1:12" x14ac:dyDescent="0.25">
      <c r="A658" t="s">
        <v>676</v>
      </c>
      <c r="B658" t="s">
        <v>20</v>
      </c>
      <c r="C658" s="10">
        <v>45579</v>
      </c>
      <c r="D658" s="18" t="str">
        <f t="shared" si="30"/>
        <v>October</v>
      </c>
      <c r="E658" s="11" t="str">
        <f t="shared" si="31"/>
        <v>2024</v>
      </c>
      <c r="F658" t="s">
        <v>24</v>
      </c>
      <c r="G658" s="2">
        <v>400431</v>
      </c>
      <c r="H658" s="2">
        <v>132665</v>
      </c>
      <c r="I658" s="2">
        <v>7190</v>
      </c>
      <c r="J658" s="2">
        <v>1913</v>
      </c>
      <c r="K658" s="2">
        <v>5655</v>
      </c>
      <c r="L658" s="5">
        <f t="shared" si="32"/>
        <v>0.11124260355029586</v>
      </c>
    </row>
    <row r="659" spans="1:12" x14ac:dyDescent="0.25">
      <c r="A659" t="s">
        <v>677</v>
      </c>
      <c r="B659" t="s">
        <v>26</v>
      </c>
      <c r="C659" s="10">
        <v>45294</v>
      </c>
      <c r="D659" s="18" t="str">
        <f t="shared" si="30"/>
        <v>January</v>
      </c>
      <c r="E659" s="11" t="str">
        <f t="shared" si="31"/>
        <v>2024</v>
      </c>
      <c r="F659" t="s">
        <v>15</v>
      </c>
      <c r="G659" s="2">
        <v>9511</v>
      </c>
      <c r="H659" s="2">
        <v>4794</v>
      </c>
      <c r="I659" s="2">
        <v>80</v>
      </c>
      <c r="J659" s="2">
        <v>38</v>
      </c>
      <c r="K659" s="2">
        <v>27</v>
      </c>
      <c r="L659" s="5">
        <f t="shared" si="32"/>
        <v>3.0246141009595329E-2</v>
      </c>
    </row>
    <row r="660" spans="1:12" x14ac:dyDescent="0.25">
      <c r="A660" t="s">
        <v>678</v>
      </c>
      <c r="B660" t="s">
        <v>14</v>
      </c>
      <c r="C660" s="10">
        <v>45895</v>
      </c>
      <c r="D660" s="18" t="str">
        <f t="shared" si="30"/>
        <v>August</v>
      </c>
      <c r="E660" s="11" t="str">
        <f t="shared" si="31"/>
        <v>2025</v>
      </c>
      <c r="F660" t="s">
        <v>18</v>
      </c>
      <c r="G660" s="2">
        <v>24086</v>
      </c>
      <c r="H660" s="2">
        <v>9779</v>
      </c>
      <c r="I660" s="2">
        <v>507</v>
      </c>
      <c r="J660" s="2">
        <v>61</v>
      </c>
      <c r="K660" s="2">
        <v>67</v>
      </c>
      <c r="L660" s="5">
        <f t="shared" si="32"/>
        <v>6.4935064935064929E-2</v>
      </c>
    </row>
    <row r="661" spans="1:12" x14ac:dyDescent="0.25">
      <c r="A661" t="s">
        <v>679</v>
      </c>
      <c r="B661" t="s">
        <v>20</v>
      </c>
      <c r="C661" s="10">
        <v>45600</v>
      </c>
      <c r="D661" s="18" t="str">
        <f t="shared" si="30"/>
        <v>November</v>
      </c>
      <c r="E661" s="11" t="str">
        <f t="shared" si="31"/>
        <v>2024</v>
      </c>
      <c r="F661" t="s">
        <v>24</v>
      </c>
      <c r="G661" s="2">
        <v>149002</v>
      </c>
      <c r="H661" s="2">
        <v>64807</v>
      </c>
      <c r="I661" s="2">
        <v>2028</v>
      </c>
      <c r="J661" s="2">
        <v>1357</v>
      </c>
      <c r="K661" s="2">
        <v>1588</v>
      </c>
      <c r="L661" s="5">
        <f t="shared" si="32"/>
        <v>7.6735537827703801E-2</v>
      </c>
    </row>
    <row r="662" spans="1:12" x14ac:dyDescent="0.25">
      <c r="A662" t="s">
        <v>680</v>
      </c>
      <c r="B662" t="s">
        <v>14</v>
      </c>
      <c r="C662" s="10">
        <v>45468</v>
      </c>
      <c r="D662" s="18" t="str">
        <f t="shared" si="30"/>
        <v>June</v>
      </c>
      <c r="E662" s="11" t="str">
        <f t="shared" si="31"/>
        <v>2024</v>
      </c>
      <c r="F662" t="s">
        <v>32</v>
      </c>
      <c r="G662" s="2">
        <v>28394</v>
      </c>
      <c r="H662" s="2">
        <v>19354</v>
      </c>
      <c r="I662" s="2">
        <v>1424</v>
      </c>
      <c r="J662" s="2">
        <v>188</v>
      </c>
      <c r="K662" s="2">
        <v>137</v>
      </c>
      <c r="L662" s="5">
        <f t="shared" si="32"/>
        <v>9.0368915986359405E-2</v>
      </c>
    </row>
    <row r="663" spans="1:12" x14ac:dyDescent="0.25">
      <c r="A663" t="s">
        <v>681</v>
      </c>
      <c r="B663" t="s">
        <v>26</v>
      </c>
      <c r="C663" s="10">
        <v>45367</v>
      </c>
      <c r="D663" s="18" t="str">
        <f t="shared" si="30"/>
        <v>March</v>
      </c>
      <c r="E663" s="11" t="str">
        <f t="shared" si="31"/>
        <v>2024</v>
      </c>
      <c r="F663" t="s">
        <v>18</v>
      </c>
      <c r="G663" s="2">
        <v>34442</v>
      </c>
      <c r="H663" s="2">
        <v>18309</v>
      </c>
      <c r="I663" s="2">
        <v>819</v>
      </c>
      <c r="J663" s="2">
        <v>280</v>
      </c>
      <c r="K663" s="2">
        <v>122</v>
      </c>
      <c r="L663" s="5">
        <f t="shared" si="32"/>
        <v>6.668851384564968E-2</v>
      </c>
    </row>
    <row r="664" spans="1:12" x14ac:dyDescent="0.25">
      <c r="A664" t="s">
        <v>682</v>
      </c>
      <c r="B664" t="s">
        <v>14</v>
      </c>
      <c r="C664" s="10">
        <v>46009</v>
      </c>
      <c r="D664" s="18" t="str">
        <f t="shared" si="30"/>
        <v>December</v>
      </c>
      <c r="E664" s="11" t="str">
        <f t="shared" si="31"/>
        <v>2025</v>
      </c>
      <c r="F664" t="s">
        <v>15</v>
      </c>
      <c r="G664" s="2">
        <v>36061</v>
      </c>
      <c r="H664" s="2">
        <v>16765</v>
      </c>
      <c r="I664" s="2">
        <v>1264</v>
      </c>
      <c r="J664" s="2">
        <v>41</v>
      </c>
      <c r="K664" s="2">
        <v>69</v>
      </c>
      <c r="L664" s="5">
        <f t="shared" si="32"/>
        <v>8.1956456904264841E-2</v>
      </c>
    </row>
    <row r="665" spans="1:12" x14ac:dyDescent="0.25">
      <c r="A665" t="s">
        <v>683</v>
      </c>
      <c r="B665" t="s">
        <v>20</v>
      </c>
      <c r="C665" s="10">
        <v>45921</v>
      </c>
      <c r="D665" s="18" t="str">
        <f t="shared" si="30"/>
        <v>September</v>
      </c>
      <c r="E665" s="11" t="str">
        <f t="shared" si="31"/>
        <v>2025</v>
      </c>
      <c r="F665" t="s">
        <v>18</v>
      </c>
      <c r="G665" s="2">
        <v>376171</v>
      </c>
      <c r="H665" s="2">
        <v>118382</v>
      </c>
      <c r="I665" s="2">
        <v>11737</v>
      </c>
      <c r="J665" s="2">
        <v>1769</v>
      </c>
      <c r="K665" s="2">
        <v>1756</v>
      </c>
      <c r="L665" s="5">
        <f t="shared" si="32"/>
        <v>0.12892162659863832</v>
      </c>
    </row>
    <row r="666" spans="1:12" x14ac:dyDescent="0.25">
      <c r="A666" t="s">
        <v>684</v>
      </c>
      <c r="B666" t="s">
        <v>14</v>
      </c>
      <c r="C666" s="10">
        <v>45988</v>
      </c>
      <c r="D666" s="18" t="str">
        <f t="shared" si="30"/>
        <v>November</v>
      </c>
      <c r="E666" s="11" t="str">
        <f t="shared" si="31"/>
        <v>2025</v>
      </c>
      <c r="F666" t="s">
        <v>24</v>
      </c>
      <c r="G666" s="2">
        <v>29184</v>
      </c>
      <c r="H666" s="2">
        <v>14749</v>
      </c>
      <c r="I666" s="2">
        <v>680</v>
      </c>
      <c r="J666" s="2">
        <v>106</v>
      </c>
      <c r="K666" s="2">
        <v>54</v>
      </c>
      <c r="L666" s="5">
        <f t="shared" si="32"/>
        <v>5.6953013763644991E-2</v>
      </c>
    </row>
    <row r="667" spans="1:12" x14ac:dyDescent="0.25">
      <c r="A667" t="s">
        <v>685</v>
      </c>
      <c r="B667" t="s">
        <v>17</v>
      </c>
      <c r="C667" s="10">
        <v>45729</v>
      </c>
      <c r="D667" s="18" t="str">
        <f t="shared" si="30"/>
        <v>March</v>
      </c>
      <c r="E667" s="11" t="str">
        <f t="shared" si="31"/>
        <v>2025</v>
      </c>
      <c r="F667" t="s">
        <v>18</v>
      </c>
      <c r="G667" s="2">
        <v>69393</v>
      </c>
      <c r="H667" s="2">
        <v>59476</v>
      </c>
      <c r="I667" s="2">
        <v>584</v>
      </c>
      <c r="J667" s="2">
        <v>275</v>
      </c>
      <c r="K667" s="2">
        <v>1046</v>
      </c>
      <c r="L667" s="5">
        <f t="shared" si="32"/>
        <v>3.2029726276144997E-2</v>
      </c>
    </row>
    <row r="668" spans="1:12" x14ac:dyDescent="0.25">
      <c r="A668" t="s">
        <v>686</v>
      </c>
      <c r="B668" t="s">
        <v>26</v>
      </c>
      <c r="C668" s="10">
        <v>45461</v>
      </c>
      <c r="D668" s="18" t="str">
        <f t="shared" si="30"/>
        <v>June</v>
      </c>
      <c r="E668" s="11" t="str">
        <f t="shared" si="31"/>
        <v>2024</v>
      </c>
      <c r="F668" t="s">
        <v>18</v>
      </c>
      <c r="G668" s="2">
        <v>13645</v>
      </c>
      <c r="H668" s="2">
        <v>6811</v>
      </c>
      <c r="I668" s="2">
        <v>361</v>
      </c>
      <c r="J668" s="2">
        <v>67</v>
      </c>
      <c r="K668" s="2">
        <v>96</v>
      </c>
      <c r="L668" s="5">
        <f t="shared" si="32"/>
        <v>7.6934370870650415E-2</v>
      </c>
    </row>
    <row r="669" spans="1:12" x14ac:dyDescent="0.25">
      <c r="A669" t="s">
        <v>687</v>
      </c>
      <c r="B669" t="s">
        <v>14</v>
      </c>
      <c r="C669" s="10">
        <v>45519</v>
      </c>
      <c r="D669" s="18" t="str">
        <f t="shared" si="30"/>
        <v>August</v>
      </c>
      <c r="E669" s="11" t="str">
        <f t="shared" si="31"/>
        <v>2024</v>
      </c>
      <c r="F669" t="s">
        <v>18</v>
      </c>
      <c r="G669" s="2">
        <v>81658</v>
      </c>
      <c r="H669" s="2">
        <v>62205</v>
      </c>
      <c r="I669" s="2">
        <v>4673</v>
      </c>
      <c r="J669" s="2">
        <v>461</v>
      </c>
      <c r="K669" s="2">
        <v>445</v>
      </c>
      <c r="L669" s="5">
        <f t="shared" si="32"/>
        <v>8.9687324170082794E-2</v>
      </c>
    </row>
    <row r="670" spans="1:12" x14ac:dyDescent="0.25">
      <c r="A670" t="s">
        <v>688</v>
      </c>
      <c r="B670" t="s">
        <v>17</v>
      </c>
      <c r="C670" s="10">
        <v>45300</v>
      </c>
      <c r="D670" s="18" t="str">
        <f t="shared" si="30"/>
        <v>January</v>
      </c>
      <c r="E670" s="11" t="str">
        <f t="shared" si="31"/>
        <v>2024</v>
      </c>
      <c r="F670" t="s">
        <v>12</v>
      </c>
      <c r="G670" s="2">
        <v>15327</v>
      </c>
      <c r="H670" s="2">
        <v>12694</v>
      </c>
      <c r="I670" s="2">
        <v>314</v>
      </c>
      <c r="J670" s="2">
        <v>26</v>
      </c>
      <c r="K670" s="2">
        <v>245</v>
      </c>
      <c r="L670" s="5">
        <f t="shared" si="32"/>
        <v>4.6084764455648339E-2</v>
      </c>
    </row>
    <row r="671" spans="1:12" x14ac:dyDescent="0.25">
      <c r="A671" t="s">
        <v>689</v>
      </c>
      <c r="B671" t="s">
        <v>20</v>
      </c>
      <c r="C671" s="10">
        <v>45490</v>
      </c>
      <c r="D671" s="18" t="str">
        <f t="shared" si="30"/>
        <v>July</v>
      </c>
      <c r="E671" s="11" t="str">
        <f t="shared" si="31"/>
        <v>2024</v>
      </c>
      <c r="F671" t="s">
        <v>18</v>
      </c>
      <c r="G671" s="2">
        <v>186198</v>
      </c>
      <c r="H671" s="2">
        <v>108919</v>
      </c>
      <c r="I671" s="2">
        <v>4735</v>
      </c>
      <c r="J671" s="2">
        <v>2170</v>
      </c>
      <c r="K671" s="2">
        <v>3180</v>
      </c>
      <c r="L671" s="5">
        <f t="shared" si="32"/>
        <v>9.2591742487536613E-2</v>
      </c>
    </row>
    <row r="672" spans="1:12" x14ac:dyDescent="0.25">
      <c r="A672" t="s">
        <v>690</v>
      </c>
      <c r="B672" t="s">
        <v>20</v>
      </c>
      <c r="C672" s="10">
        <v>45608</v>
      </c>
      <c r="D672" s="18" t="str">
        <f t="shared" si="30"/>
        <v>November</v>
      </c>
      <c r="E672" s="11" t="str">
        <f t="shared" si="31"/>
        <v>2024</v>
      </c>
      <c r="F672" t="s">
        <v>24</v>
      </c>
      <c r="G672" s="2">
        <v>321812</v>
      </c>
      <c r="H672" s="2">
        <v>105478</v>
      </c>
      <c r="I672" s="2">
        <v>8808</v>
      </c>
      <c r="J672" s="2">
        <v>1141</v>
      </c>
      <c r="K672" s="2">
        <v>4652</v>
      </c>
      <c r="L672" s="5">
        <f t="shared" si="32"/>
        <v>0.13842697055310113</v>
      </c>
    </row>
    <row r="673" spans="1:12" x14ac:dyDescent="0.25">
      <c r="A673" t="s">
        <v>691</v>
      </c>
      <c r="B673" t="s">
        <v>17</v>
      </c>
      <c r="C673" s="10">
        <v>45583</v>
      </c>
      <c r="D673" s="18" t="str">
        <f t="shared" si="30"/>
        <v>October</v>
      </c>
      <c r="E673" s="11" t="str">
        <f t="shared" si="31"/>
        <v>2024</v>
      </c>
      <c r="F673" t="s">
        <v>12</v>
      </c>
      <c r="G673" s="2">
        <v>14268</v>
      </c>
      <c r="H673" s="2">
        <v>11633</v>
      </c>
      <c r="I673" s="2">
        <v>131</v>
      </c>
      <c r="J673" s="2">
        <v>88</v>
      </c>
      <c r="K673" s="2">
        <v>139</v>
      </c>
      <c r="L673" s="5">
        <f t="shared" si="32"/>
        <v>3.0774520759907161E-2</v>
      </c>
    </row>
    <row r="674" spans="1:12" x14ac:dyDescent="0.25">
      <c r="A674" t="s">
        <v>692</v>
      </c>
      <c r="B674" t="s">
        <v>14</v>
      </c>
      <c r="C674" s="10">
        <v>45704</v>
      </c>
      <c r="D674" s="18" t="str">
        <f t="shared" si="30"/>
        <v>February</v>
      </c>
      <c r="E674" s="11" t="str">
        <f t="shared" si="31"/>
        <v>2025</v>
      </c>
      <c r="F674" t="s">
        <v>32</v>
      </c>
      <c r="G674" s="2">
        <v>47971</v>
      </c>
      <c r="H674" s="2">
        <v>29910</v>
      </c>
      <c r="I674" s="2">
        <v>1900</v>
      </c>
      <c r="J674" s="2">
        <v>203</v>
      </c>
      <c r="K674" s="2">
        <v>206</v>
      </c>
      <c r="L674" s="5">
        <f t="shared" si="32"/>
        <v>7.7198261451019726E-2</v>
      </c>
    </row>
    <row r="675" spans="1:12" x14ac:dyDescent="0.25">
      <c r="A675" t="s">
        <v>693</v>
      </c>
      <c r="B675" t="s">
        <v>14</v>
      </c>
      <c r="C675" s="10">
        <v>45553</v>
      </c>
      <c r="D675" s="18" t="str">
        <f t="shared" si="30"/>
        <v>September</v>
      </c>
      <c r="E675" s="11" t="str">
        <f t="shared" si="31"/>
        <v>2024</v>
      </c>
      <c r="F675" t="s">
        <v>32</v>
      </c>
      <c r="G675" s="2">
        <v>12818</v>
      </c>
      <c r="H675" s="2">
        <v>7169</v>
      </c>
      <c r="I675" s="2">
        <v>546</v>
      </c>
      <c r="J675" s="2">
        <v>107</v>
      </c>
      <c r="K675" s="2">
        <v>19</v>
      </c>
      <c r="L675" s="5">
        <f t="shared" si="32"/>
        <v>9.3736922862323893E-2</v>
      </c>
    </row>
    <row r="676" spans="1:12" x14ac:dyDescent="0.25">
      <c r="A676" t="s">
        <v>694</v>
      </c>
      <c r="B676" t="s">
        <v>26</v>
      </c>
      <c r="C676" s="10">
        <v>45358</v>
      </c>
      <c r="D676" s="18" t="str">
        <f t="shared" si="30"/>
        <v>March</v>
      </c>
      <c r="E676" s="11" t="str">
        <f t="shared" si="31"/>
        <v>2024</v>
      </c>
      <c r="F676" t="s">
        <v>12</v>
      </c>
      <c r="G676" s="2">
        <v>15500</v>
      </c>
      <c r="H676" s="2">
        <v>7254</v>
      </c>
      <c r="I676" s="2">
        <v>329</v>
      </c>
      <c r="J676" s="2">
        <v>93</v>
      </c>
      <c r="K676" s="2">
        <v>38</v>
      </c>
      <c r="L676" s="5">
        <f t="shared" si="32"/>
        <v>6.3413289219740834E-2</v>
      </c>
    </row>
    <row r="677" spans="1:12" x14ac:dyDescent="0.25">
      <c r="A677" t="s">
        <v>695</v>
      </c>
      <c r="B677" t="s">
        <v>14</v>
      </c>
      <c r="C677" s="10">
        <v>45815</v>
      </c>
      <c r="D677" s="18" t="str">
        <f t="shared" si="30"/>
        <v>June</v>
      </c>
      <c r="E677" s="11" t="str">
        <f t="shared" si="31"/>
        <v>2025</v>
      </c>
      <c r="F677" t="s">
        <v>32</v>
      </c>
      <c r="G677" s="2">
        <v>52663</v>
      </c>
      <c r="H677" s="2">
        <v>27199</v>
      </c>
      <c r="I677" s="2">
        <v>548</v>
      </c>
      <c r="J677" s="2">
        <v>231</v>
      </c>
      <c r="K677" s="2">
        <v>211</v>
      </c>
      <c r="L677" s="5">
        <f t="shared" si="32"/>
        <v>3.6398396999889705E-2</v>
      </c>
    </row>
    <row r="678" spans="1:12" x14ac:dyDescent="0.25">
      <c r="A678" t="s">
        <v>696</v>
      </c>
      <c r="B678" t="s">
        <v>20</v>
      </c>
      <c r="C678" s="10">
        <v>45721</v>
      </c>
      <c r="D678" s="18" t="str">
        <f t="shared" si="30"/>
        <v>March</v>
      </c>
      <c r="E678" s="11" t="str">
        <f t="shared" si="31"/>
        <v>2025</v>
      </c>
      <c r="F678" t="s">
        <v>18</v>
      </c>
      <c r="G678" s="2">
        <v>173804</v>
      </c>
      <c r="H678" s="2">
        <v>101955</v>
      </c>
      <c r="I678" s="2">
        <v>5613</v>
      </c>
      <c r="J678" s="2">
        <v>882</v>
      </c>
      <c r="K678" s="2">
        <v>4341</v>
      </c>
      <c r="L678" s="5">
        <f t="shared" si="32"/>
        <v>0.1062821833161689</v>
      </c>
    </row>
    <row r="679" spans="1:12" x14ac:dyDescent="0.25">
      <c r="A679" t="s">
        <v>697</v>
      </c>
      <c r="B679" t="s">
        <v>17</v>
      </c>
      <c r="C679" s="10">
        <v>45926</v>
      </c>
      <c r="D679" s="18" t="str">
        <f t="shared" si="30"/>
        <v>September</v>
      </c>
      <c r="E679" s="11" t="str">
        <f t="shared" si="31"/>
        <v>2025</v>
      </c>
      <c r="F679" t="s">
        <v>15</v>
      </c>
      <c r="G679" s="2">
        <v>3759</v>
      </c>
      <c r="H679" s="2">
        <v>2971</v>
      </c>
      <c r="I679" s="2">
        <v>69</v>
      </c>
      <c r="J679" s="2">
        <v>12</v>
      </c>
      <c r="K679" s="2">
        <v>33</v>
      </c>
      <c r="L679" s="5">
        <f t="shared" si="32"/>
        <v>3.8370918882531135E-2</v>
      </c>
    </row>
    <row r="680" spans="1:12" x14ac:dyDescent="0.25">
      <c r="A680" t="s">
        <v>698</v>
      </c>
      <c r="B680" t="s">
        <v>17</v>
      </c>
      <c r="C680" s="10">
        <v>45562</v>
      </c>
      <c r="D680" s="18" t="str">
        <f t="shared" si="30"/>
        <v>September</v>
      </c>
      <c r="E680" s="11" t="str">
        <f t="shared" si="31"/>
        <v>2024</v>
      </c>
      <c r="F680" t="s">
        <v>18</v>
      </c>
      <c r="G680" s="2">
        <v>65387</v>
      </c>
      <c r="H680" s="2">
        <v>56790</v>
      </c>
      <c r="I680" s="2">
        <v>780</v>
      </c>
      <c r="J680" s="2">
        <v>336</v>
      </c>
      <c r="K680" s="2">
        <v>826</v>
      </c>
      <c r="L680" s="5">
        <f t="shared" si="32"/>
        <v>3.4196161296002815E-2</v>
      </c>
    </row>
    <row r="681" spans="1:12" x14ac:dyDescent="0.25">
      <c r="A681" t="s">
        <v>699</v>
      </c>
      <c r="B681" t="s">
        <v>26</v>
      </c>
      <c r="C681" s="10">
        <v>45967</v>
      </c>
      <c r="D681" s="18" t="str">
        <f t="shared" si="30"/>
        <v>November</v>
      </c>
      <c r="E681" s="11" t="str">
        <f t="shared" si="31"/>
        <v>2025</v>
      </c>
      <c r="F681" t="s">
        <v>15</v>
      </c>
      <c r="G681" s="2">
        <v>17581</v>
      </c>
      <c r="H681" s="2">
        <v>7295</v>
      </c>
      <c r="I681" s="2">
        <v>319</v>
      </c>
      <c r="J681" s="2">
        <v>105</v>
      </c>
      <c r="K681" s="2">
        <v>47</v>
      </c>
      <c r="L681" s="5">
        <f t="shared" si="32"/>
        <v>6.4564770390678553E-2</v>
      </c>
    </row>
    <row r="682" spans="1:12" x14ac:dyDescent="0.25">
      <c r="A682" t="s">
        <v>700</v>
      </c>
      <c r="B682" t="s">
        <v>14</v>
      </c>
      <c r="C682" s="10">
        <v>45389</v>
      </c>
      <c r="D682" s="18" t="str">
        <f t="shared" si="30"/>
        <v>April</v>
      </c>
      <c r="E682" s="11" t="str">
        <f t="shared" si="31"/>
        <v>2024</v>
      </c>
      <c r="F682" t="s">
        <v>24</v>
      </c>
      <c r="G682" s="2">
        <v>39451</v>
      </c>
      <c r="H682" s="2">
        <v>23090</v>
      </c>
      <c r="I682" s="2">
        <v>792</v>
      </c>
      <c r="J682" s="2">
        <v>295</v>
      </c>
      <c r="K682" s="2">
        <v>221</v>
      </c>
      <c r="L682" s="5">
        <f t="shared" si="32"/>
        <v>5.6647899523603294E-2</v>
      </c>
    </row>
    <row r="683" spans="1:12" x14ac:dyDescent="0.25">
      <c r="A683" t="s">
        <v>701</v>
      </c>
      <c r="B683" t="s">
        <v>14</v>
      </c>
      <c r="C683" s="10">
        <v>45529</v>
      </c>
      <c r="D683" s="18" t="str">
        <f t="shared" si="30"/>
        <v>August</v>
      </c>
      <c r="E683" s="11" t="str">
        <f t="shared" si="31"/>
        <v>2024</v>
      </c>
      <c r="F683" t="s">
        <v>15</v>
      </c>
      <c r="G683" s="2">
        <v>49080</v>
      </c>
      <c r="H683" s="2">
        <v>30039</v>
      </c>
      <c r="I683" s="2">
        <v>2323</v>
      </c>
      <c r="J683" s="2">
        <v>218</v>
      </c>
      <c r="K683" s="2">
        <v>205</v>
      </c>
      <c r="L683" s="5">
        <f t="shared" si="32"/>
        <v>9.1414494490495685E-2</v>
      </c>
    </row>
    <row r="684" spans="1:12" x14ac:dyDescent="0.25">
      <c r="A684" t="s">
        <v>702</v>
      </c>
      <c r="B684" t="s">
        <v>14</v>
      </c>
      <c r="C684" s="10">
        <v>45333</v>
      </c>
      <c r="D684" s="18" t="str">
        <f t="shared" si="30"/>
        <v>February</v>
      </c>
      <c r="E684" s="11" t="str">
        <f t="shared" si="31"/>
        <v>2024</v>
      </c>
      <c r="F684" t="s">
        <v>15</v>
      </c>
      <c r="G684" s="2">
        <v>15266</v>
      </c>
      <c r="H684" s="2">
        <v>10760</v>
      </c>
      <c r="I684" s="2">
        <v>456</v>
      </c>
      <c r="J684" s="2">
        <v>21</v>
      </c>
      <c r="K684" s="2">
        <v>54</v>
      </c>
      <c r="L684" s="5">
        <f t="shared" si="32"/>
        <v>4.9349442379182158E-2</v>
      </c>
    </row>
    <row r="685" spans="1:12" x14ac:dyDescent="0.25">
      <c r="A685" t="s">
        <v>703</v>
      </c>
      <c r="B685" t="s">
        <v>17</v>
      </c>
      <c r="C685" s="10">
        <v>45849</v>
      </c>
      <c r="D685" s="18" t="str">
        <f t="shared" si="30"/>
        <v>July</v>
      </c>
      <c r="E685" s="11" t="str">
        <f t="shared" si="31"/>
        <v>2025</v>
      </c>
      <c r="F685" t="s">
        <v>12</v>
      </c>
      <c r="G685" s="2">
        <v>4895</v>
      </c>
      <c r="H685" s="2">
        <v>2931</v>
      </c>
      <c r="I685" s="2">
        <v>40</v>
      </c>
      <c r="J685" s="2">
        <v>14</v>
      </c>
      <c r="K685" s="2">
        <v>55</v>
      </c>
      <c r="L685" s="5">
        <f t="shared" si="32"/>
        <v>3.7188672807915386E-2</v>
      </c>
    </row>
    <row r="686" spans="1:12" x14ac:dyDescent="0.25">
      <c r="A686" t="s">
        <v>704</v>
      </c>
      <c r="B686" t="s">
        <v>14</v>
      </c>
      <c r="C686" s="10">
        <v>45412</v>
      </c>
      <c r="D686" s="18" t="str">
        <f t="shared" si="30"/>
        <v>April</v>
      </c>
      <c r="E686" s="11" t="str">
        <f t="shared" si="31"/>
        <v>2024</v>
      </c>
      <c r="F686" t="s">
        <v>18</v>
      </c>
      <c r="G686" s="2">
        <v>71625</v>
      </c>
      <c r="H686" s="2">
        <v>34855</v>
      </c>
      <c r="I686" s="2">
        <v>2566</v>
      </c>
      <c r="J686" s="2">
        <v>381</v>
      </c>
      <c r="K686" s="2">
        <v>148</v>
      </c>
      <c r="L686" s="5">
        <f t="shared" si="32"/>
        <v>8.8796442404246168E-2</v>
      </c>
    </row>
    <row r="687" spans="1:12" x14ac:dyDescent="0.25">
      <c r="A687" t="s">
        <v>705</v>
      </c>
      <c r="B687" t="s">
        <v>14</v>
      </c>
      <c r="C687" s="10">
        <v>45880</v>
      </c>
      <c r="D687" s="18" t="str">
        <f t="shared" si="30"/>
        <v>August</v>
      </c>
      <c r="E687" s="11" t="str">
        <f t="shared" si="31"/>
        <v>2025</v>
      </c>
      <c r="F687" t="s">
        <v>24</v>
      </c>
      <c r="G687" s="2">
        <v>18738</v>
      </c>
      <c r="H687" s="2">
        <v>10443</v>
      </c>
      <c r="I687" s="2">
        <v>526</v>
      </c>
      <c r="J687" s="2">
        <v>118</v>
      </c>
      <c r="K687" s="2">
        <v>55</v>
      </c>
      <c r="L687" s="5">
        <f t="shared" si="32"/>
        <v>6.6934788853777655E-2</v>
      </c>
    </row>
    <row r="688" spans="1:12" x14ac:dyDescent="0.25">
      <c r="A688" t="s">
        <v>706</v>
      </c>
      <c r="B688" t="s">
        <v>17</v>
      </c>
      <c r="C688" s="10">
        <v>45983</v>
      </c>
      <c r="D688" s="18" t="str">
        <f t="shared" si="30"/>
        <v>November</v>
      </c>
      <c r="E688" s="11" t="str">
        <f t="shared" si="31"/>
        <v>2025</v>
      </c>
      <c r="F688" t="s">
        <v>12</v>
      </c>
      <c r="G688" s="2">
        <v>2570</v>
      </c>
      <c r="H688" s="2">
        <v>1852</v>
      </c>
      <c r="I688" s="2">
        <v>22</v>
      </c>
      <c r="J688" s="2">
        <v>5</v>
      </c>
      <c r="K688" s="2">
        <v>7</v>
      </c>
      <c r="L688" s="5">
        <f t="shared" si="32"/>
        <v>1.8358531317494601E-2</v>
      </c>
    </row>
    <row r="689" spans="1:12" x14ac:dyDescent="0.25">
      <c r="A689" t="s">
        <v>707</v>
      </c>
      <c r="B689" t="s">
        <v>20</v>
      </c>
      <c r="C689" s="10">
        <v>45554</v>
      </c>
      <c r="D689" s="18" t="str">
        <f t="shared" si="30"/>
        <v>September</v>
      </c>
      <c r="E689" s="11" t="str">
        <f t="shared" si="31"/>
        <v>2024</v>
      </c>
      <c r="F689" t="s">
        <v>24</v>
      </c>
      <c r="G689" s="2">
        <v>136086</v>
      </c>
      <c r="H689" s="2">
        <v>60218</v>
      </c>
      <c r="I689" s="2">
        <v>3956</v>
      </c>
      <c r="J689" s="2">
        <v>1120</v>
      </c>
      <c r="K689" s="2">
        <v>1705</v>
      </c>
      <c r="L689" s="5">
        <f t="shared" si="32"/>
        <v>0.11260752598890697</v>
      </c>
    </row>
    <row r="690" spans="1:12" x14ac:dyDescent="0.25">
      <c r="A690" t="s">
        <v>708</v>
      </c>
      <c r="B690" t="s">
        <v>14</v>
      </c>
      <c r="C690" s="10">
        <v>45298</v>
      </c>
      <c r="D690" s="18" t="str">
        <f t="shared" si="30"/>
        <v>January</v>
      </c>
      <c r="E690" s="11" t="str">
        <f t="shared" si="31"/>
        <v>2024</v>
      </c>
      <c r="F690" t="s">
        <v>32</v>
      </c>
      <c r="G690" s="2">
        <v>34283</v>
      </c>
      <c r="H690" s="2">
        <v>18836</v>
      </c>
      <c r="I690" s="2">
        <v>1092</v>
      </c>
      <c r="J690" s="2">
        <v>66</v>
      </c>
      <c r="K690" s="2">
        <v>144</v>
      </c>
      <c r="L690" s="5">
        <f t="shared" si="32"/>
        <v>6.9122956041622427E-2</v>
      </c>
    </row>
    <row r="691" spans="1:12" x14ac:dyDescent="0.25">
      <c r="A691" t="s">
        <v>709</v>
      </c>
      <c r="B691" t="s">
        <v>14</v>
      </c>
      <c r="C691" s="10">
        <v>45414</v>
      </c>
      <c r="D691" s="18" t="str">
        <f t="shared" si="30"/>
        <v>May</v>
      </c>
      <c r="E691" s="11" t="str">
        <f t="shared" si="31"/>
        <v>2024</v>
      </c>
      <c r="F691" t="s">
        <v>18</v>
      </c>
      <c r="G691" s="2">
        <v>1615</v>
      </c>
      <c r="H691" s="2">
        <v>702</v>
      </c>
      <c r="I691" s="2">
        <v>21</v>
      </c>
      <c r="J691" s="2">
        <v>4</v>
      </c>
      <c r="K691" s="2">
        <v>6</v>
      </c>
      <c r="L691" s="5">
        <f t="shared" si="32"/>
        <v>4.4159544159544158E-2</v>
      </c>
    </row>
    <row r="692" spans="1:12" x14ac:dyDescent="0.25">
      <c r="A692" t="s">
        <v>710</v>
      </c>
      <c r="B692" t="s">
        <v>26</v>
      </c>
      <c r="C692" s="10">
        <v>46015</v>
      </c>
      <c r="D692" s="18" t="str">
        <f t="shared" si="30"/>
        <v>December</v>
      </c>
      <c r="E692" s="11" t="str">
        <f t="shared" si="31"/>
        <v>2025</v>
      </c>
      <c r="F692" t="s">
        <v>32</v>
      </c>
      <c r="G692" s="2">
        <v>30298</v>
      </c>
      <c r="H692" s="2">
        <v>17070</v>
      </c>
      <c r="I692" s="2">
        <v>518</v>
      </c>
      <c r="J692" s="2">
        <v>236</v>
      </c>
      <c r="K692" s="2">
        <v>232</v>
      </c>
      <c r="L692" s="5">
        <f t="shared" si="32"/>
        <v>5.7762155828939662E-2</v>
      </c>
    </row>
    <row r="693" spans="1:12" x14ac:dyDescent="0.25">
      <c r="A693" t="s">
        <v>711</v>
      </c>
      <c r="B693" t="s">
        <v>26</v>
      </c>
      <c r="C693" s="10">
        <v>45581</v>
      </c>
      <c r="D693" s="18" t="str">
        <f t="shared" si="30"/>
        <v>October</v>
      </c>
      <c r="E693" s="11" t="str">
        <f t="shared" si="31"/>
        <v>2024</v>
      </c>
      <c r="F693" t="s">
        <v>32</v>
      </c>
      <c r="G693" s="2">
        <v>16740</v>
      </c>
      <c r="H693" s="2">
        <v>7243</v>
      </c>
      <c r="I693" s="2">
        <v>220</v>
      </c>
      <c r="J693" s="2">
        <v>158</v>
      </c>
      <c r="K693" s="2">
        <v>104</v>
      </c>
      <c r="L693" s="5">
        <f t="shared" si="32"/>
        <v>6.6547010907082704E-2</v>
      </c>
    </row>
    <row r="694" spans="1:12" x14ac:dyDescent="0.25">
      <c r="A694" t="s">
        <v>712</v>
      </c>
      <c r="B694" t="s">
        <v>14</v>
      </c>
      <c r="C694" s="10">
        <v>45617</v>
      </c>
      <c r="D694" s="18" t="str">
        <f t="shared" si="30"/>
        <v>November</v>
      </c>
      <c r="E694" s="11" t="str">
        <f t="shared" si="31"/>
        <v>2024</v>
      </c>
      <c r="F694" t="s">
        <v>15</v>
      </c>
      <c r="G694" s="2">
        <v>25252</v>
      </c>
      <c r="H694" s="2">
        <v>13577</v>
      </c>
      <c r="I694" s="2">
        <v>473</v>
      </c>
      <c r="J694" s="2">
        <v>128</v>
      </c>
      <c r="K694" s="2">
        <v>17</v>
      </c>
      <c r="L694" s="5">
        <f t="shared" si="32"/>
        <v>4.5518155704500254E-2</v>
      </c>
    </row>
    <row r="695" spans="1:12" x14ac:dyDescent="0.25">
      <c r="A695" t="s">
        <v>713</v>
      </c>
      <c r="B695" t="s">
        <v>26</v>
      </c>
      <c r="C695" s="10">
        <v>45354</v>
      </c>
      <c r="D695" s="18" t="str">
        <f t="shared" si="30"/>
        <v>March</v>
      </c>
      <c r="E695" s="11" t="str">
        <f t="shared" si="31"/>
        <v>2024</v>
      </c>
      <c r="F695" t="s">
        <v>32</v>
      </c>
      <c r="G695" s="2">
        <v>30617</v>
      </c>
      <c r="H695" s="2">
        <v>23813</v>
      </c>
      <c r="I695" s="2">
        <v>1140</v>
      </c>
      <c r="J695" s="2">
        <v>433</v>
      </c>
      <c r="K695" s="2">
        <v>194</v>
      </c>
      <c r="L695" s="5">
        <f t="shared" si="32"/>
        <v>7.4203166337714691E-2</v>
      </c>
    </row>
    <row r="696" spans="1:12" x14ac:dyDescent="0.25">
      <c r="A696" t="s">
        <v>714</v>
      </c>
      <c r="B696" t="s">
        <v>11</v>
      </c>
      <c r="C696" s="10">
        <v>45589</v>
      </c>
      <c r="D696" s="18" t="str">
        <f t="shared" si="30"/>
        <v>October</v>
      </c>
      <c r="E696" s="11" t="str">
        <f t="shared" si="31"/>
        <v>2024</v>
      </c>
      <c r="F696" t="s">
        <v>32</v>
      </c>
      <c r="G696" s="2">
        <v>5867</v>
      </c>
      <c r="H696" s="2">
        <v>3418</v>
      </c>
      <c r="I696" s="2">
        <v>166</v>
      </c>
      <c r="J696" s="2">
        <v>57</v>
      </c>
      <c r="K696" s="2">
        <v>101</v>
      </c>
      <c r="L696" s="5">
        <f t="shared" si="32"/>
        <v>9.4792276184903448E-2</v>
      </c>
    </row>
    <row r="697" spans="1:12" x14ac:dyDescent="0.25">
      <c r="A697" t="s">
        <v>715</v>
      </c>
      <c r="B697" t="s">
        <v>11</v>
      </c>
      <c r="C697" s="10">
        <v>45538</v>
      </c>
      <c r="D697" s="18" t="str">
        <f t="shared" si="30"/>
        <v>September</v>
      </c>
      <c r="E697" s="11" t="str">
        <f t="shared" si="31"/>
        <v>2024</v>
      </c>
      <c r="F697" t="s">
        <v>15</v>
      </c>
      <c r="G697" s="2">
        <v>12837</v>
      </c>
      <c r="H697" s="2">
        <v>7866</v>
      </c>
      <c r="I697" s="2">
        <v>120</v>
      </c>
      <c r="J697" s="2">
        <v>146</v>
      </c>
      <c r="K697" s="2">
        <v>167</v>
      </c>
      <c r="L697" s="5">
        <f t="shared" si="32"/>
        <v>5.504703788456649E-2</v>
      </c>
    </row>
    <row r="698" spans="1:12" x14ac:dyDescent="0.25">
      <c r="A698" t="s">
        <v>716</v>
      </c>
      <c r="B698" t="s">
        <v>17</v>
      </c>
      <c r="C698" s="10">
        <v>45523</v>
      </c>
      <c r="D698" s="18" t="str">
        <f t="shared" si="30"/>
        <v>August</v>
      </c>
      <c r="E698" s="11" t="str">
        <f t="shared" si="31"/>
        <v>2024</v>
      </c>
      <c r="F698" t="s">
        <v>18</v>
      </c>
      <c r="G698" s="2">
        <v>19532</v>
      </c>
      <c r="H698" s="2">
        <v>16443</v>
      </c>
      <c r="I698" s="2">
        <v>132</v>
      </c>
      <c r="J698" s="2">
        <v>51</v>
      </c>
      <c r="K698" s="2">
        <v>177</v>
      </c>
      <c r="L698" s="5">
        <f t="shared" si="32"/>
        <v>2.1893814997263273E-2</v>
      </c>
    </row>
    <row r="699" spans="1:12" x14ac:dyDescent="0.25">
      <c r="A699" t="s">
        <v>717</v>
      </c>
      <c r="B699" t="s">
        <v>26</v>
      </c>
      <c r="C699" s="10">
        <v>45337</v>
      </c>
      <c r="D699" s="18" t="str">
        <f t="shared" si="30"/>
        <v>February</v>
      </c>
      <c r="E699" s="11" t="str">
        <f t="shared" si="31"/>
        <v>2024</v>
      </c>
      <c r="F699" t="s">
        <v>18</v>
      </c>
      <c r="G699" s="2">
        <v>36021</v>
      </c>
      <c r="H699" s="2">
        <v>24509</v>
      </c>
      <c r="I699" s="2">
        <v>567</v>
      </c>
      <c r="J699" s="2">
        <v>389</v>
      </c>
      <c r="K699" s="2">
        <v>136</v>
      </c>
      <c r="L699" s="5">
        <f t="shared" si="32"/>
        <v>4.4555061406014118E-2</v>
      </c>
    </row>
    <row r="700" spans="1:12" x14ac:dyDescent="0.25">
      <c r="A700" t="s">
        <v>718</v>
      </c>
      <c r="B700" t="s">
        <v>20</v>
      </c>
      <c r="C700" s="10">
        <v>45833</v>
      </c>
      <c r="D700" s="18" t="str">
        <f t="shared" si="30"/>
        <v>June</v>
      </c>
      <c r="E700" s="11" t="str">
        <f t="shared" si="31"/>
        <v>2025</v>
      </c>
      <c r="F700" t="s">
        <v>18</v>
      </c>
      <c r="G700" s="2">
        <v>516709</v>
      </c>
      <c r="H700" s="2">
        <v>268928</v>
      </c>
      <c r="I700" s="2">
        <v>8894</v>
      </c>
      <c r="J700" s="2">
        <v>4022</v>
      </c>
      <c r="K700" s="2">
        <v>2718</v>
      </c>
      <c r="L700" s="5">
        <f t="shared" si="32"/>
        <v>5.8134519276534985E-2</v>
      </c>
    </row>
    <row r="701" spans="1:12" x14ac:dyDescent="0.25">
      <c r="A701" t="s">
        <v>719</v>
      </c>
      <c r="B701" t="s">
        <v>26</v>
      </c>
      <c r="C701" s="10">
        <v>45921</v>
      </c>
      <c r="D701" s="18" t="str">
        <f t="shared" si="30"/>
        <v>September</v>
      </c>
      <c r="E701" s="11" t="str">
        <f t="shared" si="31"/>
        <v>2025</v>
      </c>
      <c r="F701" t="s">
        <v>15</v>
      </c>
      <c r="G701" s="2">
        <v>1750</v>
      </c>
      <c r="H701" s="2">
        <v>1317</v>
      </c>
      <c r="I701" s="2">
        <v>41</v>
      </c>
      <c r="J701" s="2">
        <v>29</v>
      </c>
      <c r="K701" s="2">
        <v>14</v>
      </c>
      <c r="L701" s="5">
        <f t="shared" si="32"/>
        <v>6.3781321184510256E-2</v>
      </c>
    </row>
    <row r="702" spans="1:12" x14ac:dyDescent="0.25">
      <c r="A702" t="s">
        <v>720</v>
      </c>
      <c r="B702" t="s">
        <v>20</v>
      </c>
      <c r="C702" s="10">
        <v>45454</v>
      </c>
      <c r="D702" s="18" t="str">
        <f t="shared" si="30"/>
        <v>June</v>
      </c>
      <c r="E702" s="11" t="str">
        <f t="shared" si="31"/>
        <v>2024</v>
      </c>
      <c r="F702" t="s">
        <v>18</v>
      </c>
      <c r="G702" s="2">
        <v>106828</v>
      </c>
      <c r="H702" s="2">
        <v>43898</v>
      </c>
      <c r="I702" s="2">
        <v>3859</v>
      </c>
      <c r="J702" s="2">
        <v>1088</v>
      </c>
      <c r="K702" s="2">
        <v>2101</v>
      </c>
      <c r="L702" s="5">
        <f t="shared" si="32"/>
        <v>0.16055401157228119</v>
      </c>
    </row>
    <row r="703" spans="1:12" x14ac:dyDescent="0.25">
      <c r="A703" t="s">
        <v>721</v>
      </c>
      <c r="B703" t="s">
        <v>20</v>
      </c>
      <c r="C703" s="10">
        <v>45718</v>
      </c>
      <c r="D703" s="18" t="str">
        <f t="shared" si="30"/>
        <v>March</v>
      </c>
      <c r="E703" s="11" t="str">
        <f t="shared" si="31"/>
        <v>2025</v>
      </c>
      <c r="F703" t="s">
        <v>24</v>
      </c>
      <c r="G703" s="2">
        <v>49124</v>
      </c>
      <c r="H703" s="2">
        <v>26835</v>
      </c>
      <c r="I703" s="2">
        <v>3131</v>
      </c>
      <c r="J703" s="2">
        <v>481</v>
      </c>
      <c r="K703" s="2">
        <v>1317</v>
      </c>
      <c r="L703" s="5">
        <f t="shared" si="32"/>
        <v>0.18367803242034655</v>
      </c>
    </row>
    <row r="704" spans="1:12" x14ac:dyDescent="0.25">
      <c r="A704" t="s">
        <v>722</v>
      </c>
      <c r="B704" t="s">
        <v>26</v>
      </c>
      <c r="C704" s="10">
        <v>45992</v>
      </c>
      <c r="D704" s="18" t="str">
        <f t="shared" si="30"/>
        <v>December</v>
      </c>
      <c r="E704" s="11" t="str">
        <f t="shared" si="31"/>
        <v>2025</v>
      </c>
      <c r="F704" t="s">
        <v>18</v>
      </c>
      <c r="G704" s="2">
        <v>6463</v>
      </c>
      <c r="H704" s="2">
        <v>4557</v>
      </c>
      <c r="I704" s="2">
        <v>146</v>
      </c>
      <c r="J704" s="2">
        <v>24</v>
      </c>
      <c r="K704" s="2">
        <v>15</v>
      </c>
      <c r="L704" s="5">
        <f t="shared" si="32"/>
        <v>4.0596883914856267E-2</v>
      </c>
    </row>
    <row r="705" spans="1:12" x14ac:dyDescent="0.25">
      <c r="A705" t="s">
        <v>723</v>
      </c>
      <c r="B705" t="s">
        <v>17</v>
      </c>
      <c r="C705" s="10">
        <v>45929</v>
      </c>
      <c r="D705" s="18" t="str">
        <f t="shared" si="30"/>
        <v>September</v>
      </c>
      <c r="E705" s="11" t="str">
        <f t="shared" si="31"/>
        <v>2025</v>
      </c>
      <c r="F705" t="s">
        <v>12</v>
      </c>
      <c r="G705" s="2">
        <v>11643</v>
      </c>
      <c r="H705" s="2">
        <v>9539</v>
      </c>
      <c r="I705" s="2">
        <v>141</v>
      </c>
      <c r="J705" s="2">
        <v>22</v>
      </c>
      <c r="K705" s="2">
        <v>91</v>
      </c>
      <c r="L705" s="5">
        <f t="shared" si="32"/>
        <v>2.6627529091099698E-2</v>
      </c>
    </row>
    <row r="706" spans="1:12" x14ac:dyDescent="0.25">
      <c r="A706" t="s">
        <v>724</v>
      </c>
      <c r="B706" t="s">
        <v>26</v>
      </c>
      <c r="C706" s="10">
        <v>45405</v>
      </c>
      <c r="D706" s="18" t="str">
        <f t="shared" si="30"/>
        <v>April</v>
      </c>
      <c r="E706" s="11" t="str">
        <f t="shared" si="31"/>
        <v>2024</v>
      </c>
      <c r="F706" t="s">
        <v>12</v>
      </c>
      <c r="G706" s="2">
        <v>9622</v>
      </c>
      <c r="H706" s="2">
        <v>4784</v>
      </c>
      <c r="I706" s="2">
        <v>206</v>
      </c>
      <c r="J706" s="2">
        <v>57</v>
      </c>
      <c r="K706" s="2">
        <v>16</v>
      </c>
      <c r="L706" s="5">
        <f t="shared" si="32"/>
        <v>5.831939799331104E-2</v>
      </c>
    </row>
    <row r="707" spans="1:12" x14ac:dyDescent="0.25">
      <c r="A707" t="s">
        <v>725</v>
      </c>
      <c r="B707" t="s">
        <v>17</v>
      </c>
      <c r="C707" s="10">
        <v>45398</v>
      </c>
      <c r="D707" s="18" t="str">
        <f t="shared" ref="D707:D770" si="33">TEXT($C707,"MMMM")</f>
        <v>April</v>
      </c>
      <c r="E707" s="11" t="str">
        <f t="shared" ref="E707:E770" si="34">TEXT(C707,"yyyy")</f>
        <v>2024</v>
      </c>
      <c r="F707" t="s">
        <v>15</v>
      </c>
      <c r="G707" s="2">
        <v>768</v>
      </c>
      <c r="H707" s="2">
        <v>675</v>
      </c>
      <c r="I707" s="2">
        <v>16</v>
      </c>
      <c r="J707" s="2">
        <v>3</v>
      </c>
      <c r="K707" s="2">
        <v>12</v>
      </c>
      <c r="L707" s="5">
        <f t="shared" ref="L707:L770" si="35">SUM(I707:K707)/H707</f>
        <v>4.5925925925925926E-2</v>
      </c>
    </row>
    <row r="708" spans="1:12" x14ac:dyDescent="0.25">
      <c r="A708" t="s">
        <v>726</v>
      </c>
      <c r="B708" t="s">
        <v>11</v>
      </c>
      <c r="C708" s="10">
        <v>45752</v>
      </c>
      <c r="D708" s="18" t="str">
        <f t="shared" si="33"/>
        <v>April</v>
      </c>
      <c r="E708" s="11" t="str">
        <f t="shared" si="34"/>
        <v>2025</v>
      </c>
      <c r="F708" t="s">
        <v>32</v>
      </c>
      <c r="G708" s="2">
        <v>5498</v>
      </c>
      <c r="H708" s="2">
        <v>3829</v>
      </c>
      <c r="I708" s="2">
        <v>145</v>
      </c>
      <c r="J708" s="2">
        <v>22</v>
      </c>
      <c r="K708" s="2">
        <v>48</v>
      </c>
      <c r="L708" s="5">
        <f t="shared" si="35"/>
        <v>5.6150430921911729E-2</v>
      </c>
    </row>
    <row r="709" spans="1:12" x14ac:dyDescent="0.25">
      <c r="A709" t="s">
        <v>727</v>
      </c>
      <c r="B709" t="s">
        <v>14</v>
      </c>
      <c r="C709" s="10">
        <v>45775</v>
      </c>
      <c r="D709" s="18" t="str">
        <f t="shared" si="33"/>
        <v>April</v>
      </c>
      <c r="E709" s="11" t="str">
        <f t="shared" si="34"/>
        <v>2025</v>
      </c>
      <c r="F709" t="s">
        <v>18</v>
      </c>
      <c r="G709" s="2">
        <v>97696</v>
      </c>
      <c r="H709" s="2">
        <v>44346</v>
      </c>
      <c r="I709" s="2">
        <v>2344</v>
      </c>
      <c r="J709" s="2">
        <v>517</v>
      </c>
      <c r="K709" s="2">
        <v>88</v>
      </c>
      <c r="L709" s="5">
        <f t="shared" si="35"/>
        <v>6.6499797050466783E-2</v>
      </c>
    </row>
    <row r="710" spans="1:12" x14ac:dyDescent="0.25">
      <c r="A710" t="s">
        <v>728</v>
      </c>
      <c r="B710" t="s">
        <v>17</v>
      </c>
      <c r="C710" s="10">
        <v>45571</v>
      </c>
      <c r="D710" s="18" t="str">
        <f t="shared" si="33"/>
        <v>October</v>
      </c>
      <c r="E710" s="11" t="str">
        <f t="shared" si="34"/>
        <v>2024</v>
      </c>
      <c r="F710" t="s">
        <v>15</v>
      </c>
      <c r="G710" s="2">
        <v>20572</v>
      </c>
      <c r="H710" s="2">
        <v>17868</v>
      </c>
      <c r="I710" s="2">
        <v>147</v>
      </c>
      <c r="J710" s="2">
        <v>129</v>
      </c>
      <c r="K710" s="2">
        <v>295</v>
      </c>
      <c r="L710" s="5">
        <f t="shared" si="35"/>
        <v>3.1956570405193639E-2</v>
      </c>
    </row>
    <row r="711" spans="1:12" x14ac:dyDescent="0.25">
      <c r="A711" t="s">
        <v>729</v>
      </c>
      <c r="B711" t="s">
        <v>11</v>
      </c>
      <c r="C711" s="10">
        <v>45571</v>
      </c>
      <c r="D711" s="18" t="str">
        <f t="shared" si="33"/>
        <v>October</v>
      </c>
      <c r="E711" s="11" t="str">
        <f t="shared" si="34"/>
        <v>2024</v>
      </c>
      <c r="F711" t="s">
        <v>12</v>
      </c>
      <c r="G711" s="2">
        <v>28247</v>
      </c>
      <c r="H711" s="2">
        <v>11746</v>
      </c>
      <c r="I711" s="2">
        <v>274</v>
      </c>
      <c r="J711" s="2">
        <v>156</v>
      </c>
      <c r="K711" s="2">
        <v>145</v>
      </c>
      <c r="L711" s="5">
        <f t="shared" si="35"/>
        <v>4.8952835007662183E-2</v>
      </c>
    </row>
    <row r="712" spans="1:12" x14ac:dyDescent="0.25">
      <c r="A712" t="s">
        <v>730</v>
      </c>
      <c r="B712" t="s">
        <v>14</v>
      </c>
      <c r="C712" s="10">
        <v>45672</v>
      </c>
      <c r="D712" s="18" t="str">
        <f t="shared" si="33"/>
        <v>January</v>
      </c>
      <c r="E712" s="11" t="str">
        <f t="shared" si="34"/>
        <v>2025</v>
      </c>
      <c r="F712" t="s">
        <v>32</v>
      </c>
      <c r="G712" s="2">
        <v>74167</v>
      </c>
      <c r="H712" s="2">
        <v>45400</v>
      </c>
      <c r="I712" s="2">
        <v>3147</v>
      </c>
      <c r="J712" s="2">
        <v>194</v>
      </c>
      <c r="K712" s="2">
        <v>135</v>
      </c>
      <c r="L712" s="5">
        <f t="shared" si="35"/>
        <v>7.6563876651982374E-2</v>
      </c>
    </row>
    <row r="713" spans="1:12" x14ac:dyDescent="0.25">
      <c r="A713" t="s">
        <v>731</v>
      </c>
      <c r="B713" t="s">
        <v>17</v>
      </c>
      <c r="C713" s="10">
        <v>45697</v>
      </c>
      <c r="D713" s="18" t="str">
        <f t="shared" si="33"/>
        <v>February</v>
      </c>
      <c r="E713" s="11" t="str">
        <f t="shared" si="34"/>
        <v>2025</v>
      </c>
      <c r="F713" t="s">
        <v>18</v>
      </c>
      <c r="G713" s="2">
        <v>36474</v>
      </c>
      <c r="H713" s="2">
        <v>26752</v>
      </c>
      <c r="I713" s="2">
        <v>699</v>
      </c>
      <c r="J713" s="2">
        <v>125</v>
      </c>
      <c r="K713" s="2">
        <v>100</v>
      </c>
      <c r="L713" s="5">
        <f t="shared" si="35"/>
        <v>3.453947368421053E-2</v>
      </c>
    </row>
    <row r="714" spans="1:12" x14ac:dyDescent="0.25">
      <c r="A714" t="s">
        <v>732</v>
      </c>
      <c r="B714" t="s">
        <v>14</v>
      </c>
      <c r="C714" s="10">
        <v>45516</v>
      </c>
      <c r="D714" s="18" t="str">
        <f t="shared" si="33"/>
        <v>August</v>
      </c>
      <c r="E714" s="11" t="str">
        <f t="shared" si="34"/>
        <v>2024</v>
      </c>
      <c r="F714" t="s">
        <v>32</v>
      </c>
      <c r="G714" s="2">
        <v>52019</v>
      </c>
      <c r="H714" s="2">
        <v>21663</v>
      </c>
      <c r="I714" s="2">
        <v>906</v>
      </c>
      <c r="J714" s="2">
        <v>211</v>
      </c>
      <c r="K714" s="2">
        <v>213</v>
      </c>
      <c r="L714" s="5">
        <f t="shared" si="35"/>
        <v>6.1395005308590683E-2</v>
      </c>
    </row>
    <row r="715" spans="1:12" x14ac:dyDescent="0.25">
      <c r="A715" t="s">
        <v>733</v>
      </c>
      <c r="B715" t="s">
        <v>17</v>
      </c>
      <c r="C715" s="10">
        <v>46001</v>
      </c>
      <c r="D715" s="18" t="str">
        <f t="shared" si="33"/>
        <v>December</v>
      </c>
      <c r="E715" s="11" t="str">
        <f t="shared" si="34"/>
        <v>2025</v>
      </c>
      <c r="F715" t="s">
        <v>15</v>
      </c>
      <c r="G715" s="2">
        <v>13851</v>
      </c>
      <c r="H715" s="2">
        <v>10753</v>
      </c>
      <c r="I715" s="2">
        <v>90</v>
      </c>
      <c r="J715" s="2">
        <v>13</v>
      </c>
      <c r="K715" s="2">
        <v>43</v>
      </c>
      <c r="L715" s="5">
        <f t="shared" si="35"/>
        <v>1.3577606249418768E-2</v>
      </c>
    </row>
    <row r="716" spans="1:12" x14ac:dyDescent="0.25">
      <c r="A716" t="s">
        <v>734</v>
      </c>
      <c r="B716" t="s">
        <v>26</v>
      </c>
      <c r="C716" s="10">
        <v>45315</v>
      </c>
      <c r="D716" s="18" t="str">
        <f t="shared" si="33"/>
        <v>January</v>
      </c>
      <c r="E716" s="11" t="str">
        <f t="shared" si="34"/>
        <v>2024</v>
      </c>
      <c r="F716" t="s">
        <v>18</v>
      </c>
      <c r="G716" s="2">
        <v>4210</v>
      </c>
      <c r="H716" s="2">
        <v>2327</v>
      </c>
      <c r="I716" s="2">
        <v>62</v>
      </c>
      <c r="J716" s="2">
        <v>55</v>
      </c>
      <c r="K716" s="2">
        <v>17</v>
      </c>
      <c r="L716" s="5">
        <f t="shared" si="35"/>
        <v>5.7584873227331329E-2</v>
      </c>
    </row>
    <row r="717" spans="1:12" x14ac:dyDescent="0.25">
      <c r="A717" t="s">
        <v>735</v>
      </c>
      <c r="B717" t="s">
        <v>17</v>
      </c>
      <c r="C717" s="10">
        <v>45638</v>
      </c>
      <c r="D717" s="18" t="str">
        <f t="shared" si="33"/>
        <v>December</v>
      </c>
      <c r="E717" s="11" t="str">
        <f t="shared" si="34"/>
        <v>2024</v>
      </c>
      <c r="F717" t="s">
        <v>12</v>
      </c>
      <c r="G717" s="2">
        <v>8714</v>
      </c>
      <c r="H717" s="2">
        <v>7818</v>
      </c>
      <c r="I717" s="2">
        <v>194</v>
      </c>
      <c r="J717" s="2">
        <v>8</v>
      </c>
      <c r="K717" s="2">
        <v>76</v>
      </c>
      <c r="L717" s="5">
        <f t="shared" si="35"/>
        <v>3.5558966487592734E-2</v>
      </c>
    </row>
    <row r="718" spans="1:12" x14ac:dyDescent="0.25">
      <c r="A718" t="s">
        <v>736</v>
      </c>
      <c r="B718" t="s">
        <v>26</v>
      </c>
      <c r="C718" s="10">
        <v>45554</v>
      </c>
      <c r="D718" s="18" t="str">
        <f t="shared" si="33"/>
        <v>September</v>
      </c>
      <c r="E718" s="11" t="str">
        <f t="shared" si="34"/>
        <v>2024</v>
      </c>
      <c r="F718" t="s">
        <v>18</v>
      </c>
      <c r="G718" s="2">
        <v>18489</v>
      </c>
      <c r="H718" s="2">
        <v>11208</v>
      </c>
      <c r="I718" s="2">
        <v>519</v>
      </c>
      <c r="J718" s="2">
        <v>262</v>
      </c>
      <c r="K718" s="2">
        <v>156</v>
      </c>
      <c r="L718" s="5">
        <f t="shared" si="35"/>
        <v>8.3600999286224123E-2</v>
      </c>
    </row>
    <row r="719" spans="1:12" x14ac:dyDescent="0.25">
      <c r="A719" t="s">
        <v>737</v>
      </c>
      <c r="B719" t="s">
        <v>26</v>
      </c>
      <c r="C719" s="10">
        <v>45886</v>
      </c>
      <c r="D719" s="18" t="str">
        <f t="shared" si="33"/>
        <v>August</v>
      </c>
      <c r="E719" s="11" t="str">
        <f t="shared" si="34"/>
        <v>2025</v>
      </c>
      <c r="F719" t="s">
        <v>12</v>
      </c>
      <c r="G719" s="2">
        <v>8150</v>
      </c>
      <c r="H719" s="2">
        <v>3795</v>
      </c>
      <c r="I719" s="2">
        <v>184</v>
      </c>
      <c r="J719" s="2">
        <v>86</v>
      </c>
      <c r="K719" s="2">
        <v>18</v>
      </c>
      <c r="L719" s="5">
        <f t="shared" si="35"/>
        <v>7.5889328063241113E-2</v>
      </c>
    </row>
    <row r="720" spans="1:12" x14ac:dyDescent="0.25">
      <c r="A720" t="s">
        <v>738</v>
      </c>
      <c r="B720" t="s">
        <v>17</v>
      </c>
      <c r="C720" s="10">
        <v>45839</v>
      </c>
      <c r="D720" s="18" t="str">
        <f t="shared" si="33"/>
        <v>July</v>
      </c>
      <c r="E720" s="11" t="str">
        <f t="shared" si="34"/>
        <v>2025</v>
      </c>
      <c r="F720" t="s">
        <v>18</v>
      </c>
      <c r="G720" s="2">
        <v>38223</v>
      </c>
      <c r="H720" s="2">
        <v>21921</v>
      </c>
      <c r="I720" s="2">
        <v>154</v>
      </c>
      <c r="J720" s="2">
        <v>148</v>
      </c>
      <c r="K720" s="2">
        <v>388</v>
      </c>
      <c r="L720" s="5">
        <f t="shared" si="35"/>
        <v>3.1476666210483097E-2</v>
      </c>
    </row>
    <row r="721" spans="1:12" x14ac:dyDescent="0.25">
      <c r="A721" t="s">
        <v>739</v>
      </c>
      <c r="B721" t="s">
        <v>11</v>
      </c>
      <c r="C721" s="10">
        <v>45957</v>
      </c>
      <c r="D721" s="18" t="str">
        <f t="shared" si="33"/>
        <v>October</v>
      </c>
      <c r="E721" s="11" t="str">
        <f t="shared" si="34"/>
        <v>2025</v>
      </c>
      <c r="F721" t="s">
        <v>32</v>
      </c>
      <c r="G721" s="2">
        <v>32977</v>
      </c>
      <c r="H721" s="2">
        <v>11560</v>
      </c>
      <c r="I721" s="2">
        <v>298</v>
      </c>
      <c r="J721" s="2">
        <v>98</v>
      </c>
      <c r="K721" s="2">
        <v>169</v>
      </c>
      <c r="L721" s="5">
        <f t="shared" si="35"/>
        <v>4.8875432525951557E-2</v>
      </c>
    </row>
    <row r="722" spans="1:12" x14ac:dyDescent="0.25">
      <c r="A722" t="s">
        <v>740</v>
      </c>
      <c r="B722" t="s">
        <v>17</v>
      </c>
      <c r="C722" s="10">
        <v>45526</v>
      </c>
      <c r="D722" s="18" t="str">
        <f t="shared" si="33"/>
        <v>August</v>
      </c>
      <c r="E722" s="11" t="str">
        <f t="shared" si="34"/>
        <v>2024</v>
      </c>
      <c r="F722" t="s">
        <v>18</v>
      </c>
      <c r="G722" s="2">
        <v>57675</v>
      </c>
      <c r="H722" s="2">
        <v>35760</v>
      </c>
      <c r="I722" s="2">
        <v>1050</v>
      </c>
      <c r="J722" s="2">
        <v>194</v>
      </c>
      <c r="K722" s="2">
        <v>445</v>
      </c>
      <c r="L722" s="5">
        <f t="shared" si="35"/>
        <v>4.7231543624161071E-2</v>
      </c>
    </row>
    <row r="723" spans="1:12" x14ac:dyDescent="0.25">
      <c r="A723" t="s">
        <v>741</v>
      </c>
      <c r="B723" t="s">
        <v>14</v>
      </c>
      <c r="C723" s="10">
        <v>45668</v>
      </c>
      <c r="D723" s="18" t="str">
        <f t="shared" si="33"/>
        <v>January</v>
      </c>
      <c r="E723" s="11" t="str">
        <f t="shared" si="34"/>
        <v>2025</v>
      </c>
      <c r="F723" t="s">
        <v>24</v>
      </c>
      <c r="G723" s="2">
        <v>87852</v>
      </c>
      <c r="H723" s="2">
        <v>38483</v>
      </c>
      <c r="I723" s="2">
        <v>1783</v>
      </c>
      <c r="J723" s="2">
        <v>380</v>
      </c>
      <c r="K723" s="2">
        <v>69</v>
      </c>
      <c r="L723" s="5">
        <f t="shared" si="35"/>
        <v>5.7999636202998729E-2</v>
      </c>
    </row>
    <row r="724" spans="1:12" x14ac:dyDescent="0.25">
      <c r="A724" t="s">
        <v>742</v>
      </c>
      <c r="B724" t="s">
        <v>26</v>
      </c>
      <c r="C724" s="10">
        <v>45385</v>
      </c>
      <c r="D724" s="18" t="str">
        <f t="shared" si="33"/>
        <v>April</v>
      </c>
      <c r="E724" s="11" t="str">
        <f t="shared" si="34"/>
        <v>2024</v>
      </c>
      <c r="F724" t="s">
        <v>32</v>
      </c>
      <c r="G724" s="2">
        <v>10551</v>
      </c>
      <c r="H724" s="2">
        <v>5565</v>
      </c>
      <c r="I724" s="2">
        <v>130</v>
      </c>
      <c r="J724" s="2">
        <v>65</v>
      </c>
      <c r="K724" s="2">
        <v>23</v>
      </c>
      <c r="L724" s="5">
        <f t="shared" si="35"/>
        <v>3.9173405211141057E-2</v>
      </c>
    </row>
    <row r="725" spans="1:12" x14ac:dyDescent="0.25">
      <c r="A725" t="s">
        <v>743</v>
      </c>
      <c r="B725" t="s">
        <v>14</v>
      </c>
      <c r="C725" s="10">
        <v>45945</v>
      </c>
      <c r="D725" s="18" t="str">
        <f t="shared" si="33"/>
        <v>October</v>
      </c>
      <c r="E725" s="11" t="str">
        <f t="shared" si="34"/>
        <v>2025</v>
      </c>
      <c r="F725" t="s">
        <v>15</v>
      </c>
      <c r="G725" s="2">
        <v>29314</v>
      </c>
      <c r="H725" s="2">
        <v>15386</v>
      </c>
      <c r="I725" s="2">
        <v>381</v>
      </c>
      <c r="J725" s="2">
        <v>69</v>
      </c>
      <c r="K725" s="2">
        <v>105</v>
      </c>
      <c r="L725" s="5">
        <f t="shared" si="35"/>
        <v>3.6071753542181201E-2</v>
      </c>
    </row>
    <row r="726" spans="1:12" x14ac:dyDescent="0.25">
      <c r="A726" t="s">
        <v>744</v>
      </c>
      <c r="B726" t="s">
        <v>14</v>
      </c>
      <c r="C726" s="10">
        <v>45460</v>
      </c>
      <c r="D726" s="18" t="str">
        <f t="shared" si="33"/>
        <v>June</v>
      </c>
      <c r="E726" s="11" t="str">
        <f t="shared" si="34"/>
        <v>2024</v>
      </c>
      <c r="F726" t="s">
        <v>18</v>
      </c>
      <c r="G726" s="2">
        <v>74816</v>
      </c>
      <c r="H726" s="2">
        <v>55347</v>
      </c>
      <c r="I726" s="2">
        <v>4283</v>
      </c>
      <c r="J726" s="2">
        <v>218</v>
      </c>
      <c r="K726" s="2">
        <v>519</v>
      </c>
      <c r="L726" s="5">
        <f t="shared" si="35"/>
        <v>9.0700489638101428E-2</v>
      </c>
    </row>
    <row r="727" spans="1:12" x14ac:dyDescent="0.25">
      <c r="A727" t="s">
        <v>745</v>
      </c>
      <c r="B727" t="s">
        <v>14</v>
      </c>
      <c r="C727" s="10">
        <v>45958</v>
      </c>
      <c r="D727" s="18" t="str">
        <f t="shared" si="33"/>
        <v>October</v>
      </c>
      <c r="E727" s="11" t="str">
        <f t="shared" si="34"/>
        <v>2025</v>
      </c>
      <c r="F727" t="s">
        <v>15</v>
      </c>
      <c r="G727" s="2">
        <v>18345</v>
      </c>
      <c r="H727" s="2">
        <v>13111</v>
      </c>
      <c r="I727" s="2">
        <v>923</v>
      </c>
      <c r="J727" s="2">
        <v>79</v>
      </c>
      <c r="K727" s="2">
        <v>17</v>
      </c>
      <c r="L727" s="5">
        <f t="shared" si="35"/>
        <v>7.7720997635573177E-2</v>
      </c>
    </row>
    <row r="728" spans="1:12" x14ac:dyDescent="0.25">
      <c r="A728" t="s">
        <v>746</v>
      </c>
      <c r="B728" t="s">
        <v>20</v>
      </c>
      <c r="C728" s="10">
        <v>45628</v>
      </c>
      <c r="D728" s="18" t="str">
        <f t="shared" si="33"/>
        <v>December</v>
      </c>
      <c r="E728" s="11" t="str">
        <f t="shared" si="34"/>
        <v>2024</v>
      </c>
      <c r="F728" t="s">
        <v>24</v>
      </c>
      <c r="G728" s="2">
        <v>84679</v>
      </c>
      <c r="H728" s="2">
        <v>56993</v>
      </c>
      <c r="I728" s="2">
        <v>3452</v>
      </c>
      <c r="J728" s="2">
        <v>763</v>
      </c>
      <c r="K728" s="2">
        <v>2444</v>
      </c>
      <c r="L728" s="5">
        <f t="shared" si="35"/>
        <v>0.11683891004158406</v>
      </c>
    </row>
    <row r="729" spans="1:12" x14ac:dyDescent="0.25">
      <c r="A729" t="s">
        <v>747</v>
      </c>
      <c r="B729" t="s">
        <v>14</v>
      </c>
      <c r="C729" s="10">
        <v>45876</v>
      </c>
      <c r="D729" s="18" t="str">
        <f t="shared" si="33"/>
        <v>August</v>
      </c>
      <c r="E729" s="11" t="str">
        <f t="shared" si="34"/>
        <v>2025</v>
      </c>
      <c r="F729" t="s">
        <v>18</v>
      </c>
      <c r="G729" s="2">
        <v>29143</v>
      </c>
      <c r="H729" s="2">
        <v>15606</v>
      </c>
      <c r="I729" s="2">
        <v>1093</v>
      </c>
      <c r="J729" s="2">
        <v>150</v>
      </c>
      <c r="K729" s="2">
        <v>58</v>
      </c>
      <c r="L729" s="5">
        <f t="shared" si="35"/>
        <v>8.3365372292707934E-2</v>
      </c>
    </row>
    <row r="730" spans="1:12" x14ac:dyDescent="0.25">
      <c r="A730" t="s">
        <v>748</v>
      </c>
      <c r="B730" t="s">
        <v>11</v>
      </c>
      <c r="C730" s="10">
        <v>45345</v>
      </c>
      <c r="D730" s="18" t="str">
        <f t="shared" si="33"/>
        <v>February</v>
      </c>
      <c r="E730" s="11" t="str">
        <f t="shared" si="34"/>
        <v>2024</v>
      </c>
      <c r="F730" t="s">
        <v>18</v>
      </c>
      <c r="G730" s="2">
        <v>45375</v>
      </c>
      <c r="H730" s="2">
        <v>28348</v>
      </c>
      <c r="I730" s="2">
        <v>982</v>
      </c>
      <c r="J730" s="2">
        <v>138</v>
      </c>
      <c r="K730" s="2">
        <v>474</v>
      </c>
      <c r="L730" s="5">
        <f t="shared" si="35"/>
        <v>5.6229716382108087E-2</v>
      </c>
    </row>
    <row r="731" spans="1:12" x14ac:dyDescent="0.25">
      <c r="A731" t="s">
        <v>749</v>
      </c>
      <c r="B731" t="s">
        <v>17</v>
      </c>
      <c r="C731" s="10">
        <v>45293</v>
      </c>
      <c r="D731" s="18" t="str">
        <f t="shared" si="33"/>
        <v>January</v>
      </c>
      <c r="E731" s="11" t="str">
        <f t="shared" si="34"/>
        <v>2024</v>
      </c>
      <c r="F731" t="s">
        <v>15</v>
      </c>
      <c r="G731" s="2">
        <v>13665</v>
      </c>
      <c r="H731" s="2">
        <v>9857</v>
      </c>
      <c r="I731" s="2">
        <v>103</v>
      </c>
      <c r="J731" s="2">
        <v>61</v>
      </c>
      <c r="K731" s="2">
        <v>141</v>
      </c>
      <c r="L731" s="5">
        <f t="shared" si="35"/>
        <v>3.0942477427209091E-2</v>
      </c>
    </row>
    <row r="732" spans="1:12" x14ac:dyDescent="0.25">
      <c r="A732" t="s">
        <v>750</v>
      </c>
      <c r="B732" t="s">
        <v>20</v>
      </c>
      <c r="C732" s="10">
        <v>45332</v>
      </c>
      <c r="D732" s="18" t="str">
        <f t="shared" si="33"/>
        <v>February</v>
      </c>
      <c r="E732" s="11" t="str">
        <f t="shared" si="34"/>
        <v>2024</v>
      </c>
      <c r="F732" t="s">
        <v>18</v>
      </c>
      <c r="G732" s="2">
        <v>354002</v>
      </c>
      <c r="H732" s="2">
        <v>187195</v>
      </c>
      <c r="I732" s="2">
        <v>14646</v>
      </c>
      <c r="J732" s="2">
        <v>2605</v>
      </c>
      <c r="K732" s="2">
        <v>2589</v>
      </c>
      <c r="L732" s="5">
        <f t="shared" si="35"/>
        <v>0.1059857367985256</v>
      </c>
    </row>
    <row r="733" spans="1:12" x14ac:dyDescent="0.25">
      <c r="A733" t="s">
        <v>751</v>
      </c>
      <c r="B733" t="s">
        <v>20</v>
      </c>
      <c r="C733" s="10">
        <v>45518</v>
      </c>
      <c r="D733" s="18" t="str">
        <f t="shared" si="33"/>
        <v>August</v>
      </c>
      <c r="E733" s="11" t="str">
        <f t="shared" si="34"/>
        <v>2024</v>
      </c>
      <c r="F733" t="s">
        <v>24</v>
      </c>
      <c r="G733" s="2">
        <v>500863</v>
      </c>
      <c r="H733" s="2">
        <v>228827</v>
      </c>
      <c r="I733" s="2">
        <v>7070</v>
      </c>
      <c r="J733" s="2">
        <v>3230</v>
      </c>
      <c r="K733" s="2">
        <v>10832</v>
      </c>
      <c r="L733" s="5">
        <f t="shared" si="35"/>
        <v>9.2349242003784512E-2</v>
      </c>
    </row>
    <row r="734" spans="1:12" x14ac:dyDescent="0.25">
      <c r="A734" t="s">
        <v>752</v>
      </c>
      <c r="B734" t="s">
        <v>17</v>
      </c>
      <c r="C734" s="10">
        <v>45854</v>
      </c>
      <c r="D734" s="18" t="str">
        <f t="shared" si="33"/>
        <v>July</v>
      </c>
      <c r="E734" s="11" t="str">
        <f t="shared" si="34"/>
        <v>2025</v>
      </c>
      <c r="F734" t="s">
        <v>15</v>
      </c>
      <c r="G734" s="2">
        <v>23524</v>
      </c>
      <c r="H734" s="2">
        <v>15820</v>
      </c>
      <c r="I734" s="2">
        <v>267</v>
      </c>
      <c r="J734" s="2">
        <v>125</v>
      </c>
      <c r="K734" s="2">
        <v>203</v>
      </c>
      <c r="L734" s="5">
        <f t="shared" si="35"/>
        <v>3.7610619469026552E-2</v>
      </c>
    </row>
    <row r="735" spans="1:12" x14ac:dyDescent="0.25">
      <c r="A735" t="s">
        <v>753</v>
      </c>
      <c r="B735" t="s">
        <v>20</v>
      </c>
      <c r="C735" s="10">
        <v>45465</v>
      </c>
      <c r="D735" s="18" t="str">
        <f t="shared" si="33"/>
        <v>June</v>
      </c>
      <c r="E735" s="11" t="str">
        <f t="shared" si="34"/>
        <v>2024</v>
      </c>
      <c r="F735" t="s">
        <v>24</v>
      </c>
      <c r="G735" s="2">
        <v>379546</v>
      </c>
      <c r="H735" s="2">
        <v>244938</v>
      </c>
      <c r="I735" s="2">
        <v>17987</v>
      </c>
      <c r="J735" s="2">
        <v>4666</v>
      </c>
      <c r="K735" s="2">
        <v>9574</v>
      </c>
      <c r="L735" s="5">
        <f t="shared" si="35"/>
        <v>0.13157207129967582</v>
      </c>
    </row>
    <row r="736" spans="1:12" x14ac:dyDescent="0.25">
      <c r="A736" t="s">
        <v>754</v>
      </c>
      <c r="B736" t="s">
        <v>20</v>
      </c>
      <c r="C736" s="10">
        <v>45532</v>
      </c>
      <c r="D736" s="18" t="str">
        <f t="shared" si="33"/>
        <v>August</v>
      </c>
      <c r="E736" s="11" t="str">
        <f t="shared" si="34"/>
        <v>2024</v>
      </c>
      <c r="F736" t="s">
        <v>18</v>
      </c>
      <c r="G736" s="2">
        <v>175978</v>
      </c>
      <c r="H736" s="2">
        <v>102798</v>
      </c>
      <c r="I736" s="2">
        <v>7603</v>
      </c>
      <c r="J736" s="2">
        <v>735</v>
      </c>
      <c r="K736" s="2">
        <v>2192</v>
      </c>
      <c r="L736" s="5">
        <f t="shared" si="35"/>
        <v>0.10243389949220802</v>
      </c>
    </row>
    <row r="737" spans="1:12" x14ac:dyDescent="0.25">
      <c r="A737" t="s">
        <v>755</v>
      </c>
      <c r="B737" t="s">
        <v>26</v>
      </c>
      <c r="C737" s="10">
        <v>45343</v>
      </c>
      <c r="D737" s="18" t="str">
        <f t="shared" si="33"/>
        <v>February</v>
      </c>
      <c r="E737" s="11" t="str">
        <f t="shared" si="34"/>
        <v>2024</v>
      </c>
      <c r="F737" t="s">
        <v>32</v>
      </c>
      <c r="G737" s="2">
        <v>17851</v>
      </c>
      <c r="H737" s="2">
        <v>10653</v>
      </c>
      <c r="I737" s="2">
        <v>613</v>
      </c>
      <c r="J737" s="2">
        <v>83</v>
      </c>
      <c r="K737" s="2">
        <v>51</v>
      </c>
      <c r="L737" s="5">
        <f t="shared" si="35"/>
        <v>7.0121092649957764E-2</v>
      </c>
    </row>
    <row r="738" spans="1:12" x14ac:dyDescent="0.25">
      <c r="A738" t="s">
        <v>756</v>
      </c>
      <c r="B738" t="s">
        <v>11</v>
      </c>
      <c r="C738" s="10">
        <v>45622</v>
      </c>
      <c r="D738" s="18" t="str">
        <f t="shared" si="33"/>
        <v>November</v>
      </c>
      <c r="E738" s="11" t="str">
        <f t="shared" si="34"/>
        <v>2024</v>
      </c>
      <c r="F738" t="s">
        <v>12</v>
      </c>
      <c r="G738" s="2">
        <v>3182</v>
      </c>
      <c r="H738" s="2">
        <v>1939</v>
      </c>
      <c r="I738" s="2">
        <v>95</v>
      </c>
      <c r="J738" s="2">
        <v>13</v>
      </c>
      <c r="K738" s="2">
        <v>55</v>
      </c>
      <c r="L738" s="5">
        <f t="shared" si="35"/>
        <v>8.4063950489943265E-2</v>
      </c>
    </row>
    <row r="739" spans="1:12" x14ac:dyDescent="0.25">
      <c r="A739" t="s">
        <v>757</v>
      </c>
      <c r="B739" t="s">
        <v>14</v>
      </c>
      <c r="C739" s="10">
        <v>45477</v>
      </c>
      <c r="D739" s="18" t="str">
        <f t="shared" si="33"/>
        <v>July</v>
      </c>
      <c r="E739" s="11" t="str">
        <f t="shared" si="34"/>
        <v>2024</v>
      </c>
      <c r="F739" t="s">
        <v>32</v>
      </c>
      <c r="G739" s="2">
        <v>44248</v>
      </c>
      <c r="H739" s="2">
        <v>21842</v>
      </c>
      <c r="I739" s="2">
        <v>1232</v>
      </c>
      <c r="J739" s="2">
        <v>170</v>
      </c>
      <c r="K739" s="2">
        <v>37</v>
      </c>
      <c r="L739" s="5">
        <f t="shared" si="35"/>
        <v>6.5882245215639595E-2</v>
      </c>
    </row>
    <row r="740" spans="1:12" x14ac:dyDescent="0.25">
      <c r="A740" t="s">
        <v>758</v>
      </c>
      <c r="B740" t="s">
        <v>11</v>
      </c>
      <c r="C740" s="10">
        <v>45652</v>
      </c>
      <c r="D740" s="18" t="str">
        <f t="shared" si="33"/>
        <v>December</v>
      </c>
      <c r="E740" s="11" t="str">
        <f t="shared" si="34"/>
        <v>2024</v>
      </c>
      <c r="F740" t="s">
        <v>32</v>
      </c>
      <c r="G740" s="2">
        <v>45960</v>
      </c>
      <c r="H740" s="2">
        <v>27219</v>
      </c>
      <c r="I740" s="2">
        <v>568</v>
      </c>
      <c r="J740" s="2">
        <v>157</v>
      </c>
      <c r="K740" s="2">
        <v>161</v>
      </c>
      <c r="L740" s="5">
        <f t="shared" si="35"/>
        <v>3.2550791726367607E-2</v>
      </c>
    </row>
    <row r="741" spans="1:12" x14ac:dyDescent="0.25">
      <c r="A741" t="s">
        <v>759</v>
      </c>
      <c r="B741" t="s">
        <v>14</v>
      </c>
      <c r="C741" s="10">
        <v>45344</v>
      </c>
      <c r="D741" s="18" t="str">
        <f t="shared" si="33"/>
        <v>February</v>
      </c>
      <c r="E741" s="11" t="str">
        <f t="shared" si="34"/>
        <v>2024</v>
      </c>
      <c r="F741" t="s">
        <v>18</v>
      </c>
      <c r="G741" s="2">
        <v>63176</v>
      </c>
      <c r="H741" s="2">
        <v>32514</v>
      </c>
      <c r="I741" s="2">
        <v>1668</v>
      </c>
      <c r="J741" s="2">
        <v>177</v>
      </c>
      <c r="K741" s="2">
        <v>185</v>
      </c>
      <c r="L741" s="5">
        <f t="shared" si="35"/>
        <v>6.2434643538168175E-2</v>
      </c>
    </row>
    <row r="742" spans="1:12" x14ac:dyDescent="0.25">
      <c r="A742" t="s">
        <v>760</v>
      </c>
      <c r="B742" t="s">
        <v>14</v>
      </c>
      <c r="C742" s="10">
        <v>45671</v>
      </c>
      <c r="D742" s="18" t="str">
        <f t="shared" si="33"/>
        <v>January</v>
      </c>
      <c r="E742" s="11" t="str">
        <f t="shared" si="34"/>
        <v>2025</v>
      </c>
      <c r="F742" t="s">
        <v>24</v>
      </c>
      <c r="G742" s="2">
        <v>8474</v>
      </c>
      <c r="H742" s="2">
        <v>4884</v>
      </c>
      <c r="I742" s="2">
        <v>252</v>
      </c>
      <c r="J742" s="2">
        <v>27</v>
      </c>
      <c r="K742" s="2">
        <v>16</v>
      </c>
      <c r="L742" s="5">
        <f t="shared" si="35"/>
        <v>6.0401310401310401E-2</v>
      </c>
    </row>
    <row r="743" spans="1:12" x14ac:dyDescent="0.25">
      <c r="A743" t="s">
        <v>761</v>
      </c>
      <c r="B743" t="s">
        <v>17</v>
      </c>
      <c r="C743" s="10">
        <v>45627</v>
      </c>
      <c r="D743" s="18" t="str">
        <f t="shared" si="33"/>
        <v>December</v>
      </c>
      <c r="E743" s="11" t="str">
        <f t="shared" si="34"/>
        <v>2024</v>
      </c>
      <c r="F743" t="s">
        <v>12</v>
      </c>
      <c r="G743" s="2">
        <v>24643</v>
      </c>
      <c r="H743" s="2">
        <v>12830</v>
      </c>
      <c r="I743" s="2">
        <v>151</v>
      </c>
      <c r="J743" s="2">
        <v>43</v>
      </c>
      <c r="K743" s="2">
        <v>101</v>
      </c>
      <c r="L743" s="5">
        <f t="shared" si="35"/>
        <v>2.299298519095869E-2</v>
      </c>
    </row>
    <row r="744" spans="1:12" x14ac:dyDescent="0.25">
      <c r="A744" t="s">
        <v>762</v>
      </c>
      <c r="B744" t="s">
        <v>17</v>
      </c>
      <c r="C744" s="10">
        <v>45398</v>
      </c>
      <c r="D744" s="18" t="str">
        <f t="shared" si="33"/>
        <v>April</v>
      </c>
      <c r="E744" s="11" t="str">
        <f t="shared" si="34"/>
        <v>2024</v>
      </c>
      <c r="F744" t="s">
        <v>15</v>
      </c>
      <c r="G744" s="2">
        <v>18893</v>
      </c>
      <c r="H744" s="2">
        <v>11508</v>
      </c>
      <c r="I744" s="2">
        <v>103</v>
      </c>
      <c r="J744" s="2">
        <v>30</v>
      </c>
      <c r="K744" s="2">
        <v>23</v>
      </c>
      <c r="L744" s="5">
        <f t="shared" si="35"/>
        <v>1.3555787278415016E-2</v>
      </c>
    </row>
    <row r="745" spans="1:12" x14ac:dyDescent="0.25">
      <c r="A745" t="s">
        <v>763</v>
      </c>
      <c r="B745" t="s">
        <v>17</v>
      </c>
      <c r="C745" s="10">
        <v>45344</v>
      </c>
      <c r="D745" s="18" t="str">
        <f t="shared" si="33"/>
        <v>February</v>
      </c>
      <c r="E745" s="11" t="str">
        <f t="shared" si="34"/>
        <v>2024</v>
      </c>
      <c r="F745" t="s">
        <v>15</v>
      </c>
      <c r="G745" s="2">
        <v>16687</v>
      </c>
      <c r="H745" s="2">
        <v>8832</v>
      </c>
      <c r="I745" s="2">
        <v>149</v>
      </c>
      <c r="J745" s="2">
        <v>10</v>
      </c>
      <c r="K745" s="2">
        <v>166</v>
      </c>
      <c r="L745" s="5">
        <f t="shared" si="35"/>
        <v>3.6798007246376808E-2</v>
      </c>
    </row>
    <row r="746" spans="1:12" x14ac:dyDescent="0.25">
      <c r="A746" t="s">
        <v>764</v>
      </c>
      <c r="B746" t="s">
        <v>26</v>
      </c>
      <c r="C746" s="10">
        <v>45677</v>
      </c>
      <c r="D746" s="18" t="str">
        <f t="shared" si="33"/>
        <v>January</v>
      </c>
      <c r="E746" s="11" t="str">
        <f t="shared" si="34"/>
        <v>2025</v>
      </c>
      <c r="F746" t="s">
        <v>15</v>
      </c>
      <c r="G746" s="2">
        <v>6126</v>
      </c>
      <c r="H746" s="2">
        <v>2556</v>
      </c>
      <c r="I746" s="2">
        <v>101</v>
      </c>
      <c r="J746" s="2">
        <v>62</v>
      </c>
      <c r="K746" s="2">
        <v>12</v>
      </c>
      <c r="L746" s="5">
        <f t="shared" si="35"/>
        <v>6.8466353677621286E-2</v>
      </c>
    </row>
    <row r="747" spans="1:12" x14ac:dyDescent="0.25">
      <c r="A747" t="s">
        <v>765</v>
      </c>
      <c r="B747" t="s">
        <v>20</v>
      </c>
      <c r="C747" s="10">
        <v>45453</v>
      </c>
      <c r="D747" s="18" t="str">
        <f t="shared" si="33"/>
        <v>June</v>
      </c>
      <c r="E747" s="11" t="str">
        <f t="shared" si="34"/>
        <v>2024</v>
      </c>
      <c r="F747" t="s">
        <v>24</v>
      </c>
      <c r="G747" s="2">
        <v>153582</v>
      </c>
      <c r="H747" s="2">
        <v>61067</v>
      </c>
      <c r="I747" s="2">
        <v>2112</v>
      </c>
      <c r="J747" s="2">
        <v>1732</v>
      </c>
      <c r="K747" s="2">
        <v>1108</v>
      </c>
      <c r="L747" s="5">
        <f t="shared" si="35"/>
        <v>8.1091260418884176E-2</v>
      </c>
    </row>
    <row r="748" spans="1:12" x14ac:dyDescent="0.25">
      <c r="A748" t="s">
        <v>766</v>
      </c>
      <c r="B748" t="s">
        <v>17</v>
      </c>
      <c r="C748" s="10">
        <v>45438</v>
      </c>
      <c r="D748" s="18" t="str">
        <f t="shared" si="33"/>
        <v>May</v>
      </c>
      <c r="E748" s="11" t="str">
        <f t="shared" si="34"/>
        <v>2024</v>
      </c>
      <c r="F748" t="s">
        <v>18</v>
      </c>
      <c r="G748" s="2">
        <v>33166</v>
      </c>
      <c r="H748" s="2">
        <v>20671</v>
      </c>
      <c r="I748" s="2">
        <v>132</v>
      </c>
      <c r="J748" s="2">
        <v>105</v>
      </c>
      <c r="K748" s="2">
        <v>403</v>
      </c>
      <c r="L748" s="5">
        <f t="shared" si="35"/>
        <v>3.0961250060471193E-2</v>
      </c>
    </row>
    <row r="749" spans="1:12" x14ac:dyDescent="0.25">
      <c r="A749" t="s">
        <v>767</v>
      </c>
      <c r="B749" t="s">
        <v>11</v>
      </c>
      <c r="C749" s="10">
        <v>45912</v>
      </c>
      <c r="D749" s="18" t="str">
        <f t="shared" si="33"/>
        <v>September</v>
      </c>
      <c r="E749" s="11" t="str">
        <f t="shared" si="34"/>
        <v>2025</v>
      </c>
      <c r="F749" t="s">
        <v>32</v>
      </c>
      <c r="G749" s="2">
        <v>958</v>
      </c>
      <c r="H749" s="2">
        <v>636</v>
      </c>
      <c r="I749" s="2">
        <v>29</v>
      </c>
      <c r="J749" s="2">
        <v>6</v>
      </c>
      <c r="K749" s="2">
        <v>17</v>
      </c>
      <c r="L749" s="5">
        <f t="shared" si="35"/>
        <v>8.1761006289308172E-2</v>
      </c>
    </row>
    <row r="750" spans="1:12" x14ac:dyDescent="0.25">
      <c r="A750" t="s">
        <v>768</v>
      </c>
      <c r="B750" t="s">
        <v>14</v>
      </c>
      <c r="C750" s="10">
        <v>45630</v>
      </c>
      <c r="D750" s="18" t="str">
        <f t="shared" si="33"/>
        <v>December</v>
      </c>
      <c r="E750" s="11" t="str">
        <f t="shared" si="34"/>
        <v>2024</v>
      </c>
      <c r="F750" t="s">
        <v>18</v>
      </c>
      <c r="G750" s="2">
        <v>113024</v>
      </c>
      <c r="H750" s="2">
        <v>63107</v>
      </c>
      <c r="I750" s="2">
        <v>3534</v>
      </c>
      <c r="J750" s="2">
        <v>773</v>
      </c>
      <c r="K750" s="2">
        <v>454</v>
      </c>
      <c r="L750" s="5">
        <f t="shared" si="35"/>
        <v>7.5443294721663209E-2</v>
      </c>
    </row>
    <row r="751" spans="1:12" x14ac:dyDescent="0.25">
      <c r="A751" t="s">
        <v>769</v>
      </c>
      <c r="B751" t="s">
        <v>11</v>
      </c>
      <c r="C751" s="10">
        <v>45561</v>
      </c>
      <c r="D751" s="18" t="str">
        <f t="shared" si="33"/>
        <v>September</v>
      </c>
      <c r="E751" s="11" t="str">
        <f t="shared" si="34"/>
        <v>2024</v>
      </c>
      <c r="F751" t="s">
        <v>12</v>
      </c>
      <c r="G751" s="2">
        <v>21214</v>
      </c>
      <c r="H751" s="2">
        <v>10351</v>
      </c>
      <c r="I751" s="2">
        <v>479</v>
      </c>
      <c r="J751" s="2">
        <v>54</v>
      </c>
      <c r="K751" s="2">
        <v>195</v>
      </c>
      <c r="L751" s="5">
        <f t="shared" si="35"/>
        <v>7.0331368949859918E-2</v>
      </c>
    </row>
    <row r="752" spans="1:12" x14ac:dyDescent="0.25">
      <c r="A752" t="s">
        <v>770</v>
      </c>
      <c r="B752" t="s">
        <v>11</v>
      </c>
      <c r="C752" s="10">
        <v>45690</v>
      </c>
      <c r="D752" s="18" t="str">
        <f t="shared" si="33"/>
        <v>February</v>
      </c>
      <c r="E752" s="11" t="str">
        <f t="shared" si="34"/>
        <v>2025</v>
      </c>
      <c r="F752" t="s">
        <v>12</v>
      </c>
      <c r="G752" s="2">
        <v>18110</v>
      </c>
      <c r="H752" s="2">
        <v>6550</v>
      </c>
      <c r="I752" s="2">
        <v>231</v>
      </c>
      <c r="J752" s="2">
        <v>98</v>
      </c>
      <c r="K752" s="2">
        <v>81</v>
      </c>
      <c r="L752" s="5">
        <f t="shared" si="35"/>
        <v>6.2595419847328249E-2</v>
      </c>
    </row>
    <row r="753" spans="1:12" x14ac:dyDescent="0.25">
      <c r="A753" t="s">
        <v>771</v>
      </c>
      <c r="B753" t="s">
        <v>20</v>
      </c>
      <c r="C753" s="10">
        <v>45371</v>
      </c>
      <c r="D753" s="18" t="str">
        <f t="shared" si="33"/>
        <v>March</v>
      </c>
      <c r="E753" s="11" t="str">
        <f t="shared" si="34"/>
        <v>2024</v>
      </c>
      <c r="F753" t="s">
        <v>24</v>
      </c>
      <c r="G753" s="2">
        <v>427491</v>
      </c>
      <c r="H753" s="2">
        <v>269084</v>
      </c>
      <c r="I753" s="2">
        <v>23475</v>
      </c>
      <c r="J753" s="2">
        <v>6850</v>
      </c>
      <c r="K753" s="2">
        <v>5392</v>
      </c>
      <c r="L753" s="5">
        <f t="shared" si="35"/>
        <v>0.13273550266831174</v>
      </c>
    </row>
    <row r="754" spans="1:12" x14ac:dyDescent="0.25">
      <c r="A754" t="s">
        <v>772</v>
      </c>
      <c r="B754" t="s">
        <v>14</v>
      </c>
      <c r="C754" s="10">
        <v>45614</v>
      </c>
      <c r="D754" s="18" t="str">
        <f t="shared" si="33"/>
        <v>November</v>
      </c>
      <c r="E754" s="11" t="str">
        <f t="shared" si="34"/>
        <v>2024</v>
      </c>
      <c r="F754" t="s">
        <v>24</v>
      </c>
      <c r="G754" s="2">
        <v>117459</v>
      </c>
      <c r="H754" s="2">
        <v>81926</v>
      </c>
      <c r="I754" s="2">
        <v>2922</v>
      </c>
      <c r="J754" s="2">
        <v>469</v>
      </c>
      <c r="K754" s="2">
        <v>298</v>
      </c>
      <c r="L754" s="5">
        <f t="shared" si="35"/>
        <v>4.5028440299782729E-2</v>
      </c>
    </row>
    <row r="755" spans="1:12" x14ac:dyDescent="0.25">
      <c r="A755" t="s">
        <v>773</v>
      </c>
      <c r="B755" t="s">
        <v>11</v>
      </c>
      <c r="C755" s="10">
        <v>45868</v>
      </c>
      <c r="D755" s="18" t="str">
        <f t="shared" si="33"/>
        <v>July</v>
      </c>
      <c r="E755" s="11" t="str">
        <f t="shared" si="34"/>
        <v>2025</v>
      </c>
      <c r="F755" t="s">
        <v>32</v>
      </c>
      <c r="G755" s="2">
        <v>35097</v>
      </c>
      <c r="H755" s="2">
        <v>15528</v>
      </c>
      <c r="I755" s="2">
        <v>717</v>
      </c>
      <c r="J755" s="2">
        <v>169</v>
      </c>
      <c r="K755" s="2">
        <v>430</v>
      </c>
      <c r="L755" s="5">
        <f t="shared" si="35"/>
        <v>8.4750128799587834E-2</v>
      </c>
    </row>
    <row r="756" spans="1:12" x14ac:dyDescent="0.25">
      <c r="A756" t="s">
        <v>774</v>
      </c>
      <c r="B756" t="s">
        <v>26</v>
      </c>
      <c r="C756" s="10">
        <v>45911</v>
      </c>
      <c r="D756" s="18" t="str">
        <f t="shared" si="33"/>
        <v>September</v>
      </c>
      <c r="E756" s="11" t="str">
        <f t="shared" si="34"/>
        <v>2025</v>
      </c>
      <c r="F756" t="s">
        <v>32</v>
      </c>
      <c r="G756" s="2">
        <v>9224</v>
      </c>
      <c r="H756" s="2">
        <v>6185</v>
      </c>
      <c r="I756" s="2">
        <v>181</v>
      </c>
      <c r="J756" s="2">
        <v>39</v>
      </c>
      <c r="K756" s="2">
        <v>27</v>
      </c>
      <c r="L756" s="5">
        <f t="shared" si="35"/>
        <v>3.9935327405012128E-2</v>
      </c>
    </row>
    <row r="757" spans="1:12" x14ac:dyDescent="0.25">
      <c r="A757" t="s">
        <v>775</v>
      </c>
      <c r="B757" t="s">
        <v>11</v>
      </c>
      <c r="C757" s="10">
        <v>45994</v>
      </c>
      <c r="D757" s="18" t="str">
        <f t="shared" si="33"/>
        <v>December</v>
      </c>
      <c r="E757" s="11" t="str">
        <f t="shared" si="34"/>
        <v>2025</v>
      </c>
      <c r="F757" t="s">
        <v>15</v>
      </c>
      <c r="G757" s="2">
        <v>14807</v>
      </c>
      <c r="H757" s="2">
        <v>4641</v>
      </c>
      <c r="I757" s="2">
        <v>189</v>
      </c>
      <c r="J757" s="2">
        <v>83</v>
      </c>
      <c r="K757" s="2">
        <v>65</v>
      </c>
      <c r="L757" s="5">
        <f t="shared" si="35"/>
        <v>7.2613660848954972E-2</v>
      </c>
    </row>
    <row r="758" spans="1:12" x14ac:dyDescent="0.25">
      <c r="A758" t="s">
        <v>776</v>
      </c>
      <c r="B758" t="s">
        <v>14</v>
      </c>
      <c r="C758" s="10">
        <v>45925</v>
      </c>
      <c r="D758" s="18" t="str">
        <f t="shared" si="33"/>
        <v>September</v>
      </c>
      <c r="E758" s="11" t="str">
        <f t="shared" si="34"/>
        <v>2025</v>
      </c>
      <c r="F758" t="s">
        <v>32</v>
      </c>
      <c r="G758" s="2">
        <v>56534</v>
      </c>
      <c r="H758" s="2">
        <v>26667</v>
      </c>
      <c r="I758" s="2">
        <v>1823</v>
      </c>
      <c r="J758" s="2">
        <v>220</v>
      </c>
      <c r="K758" s="2">
        <v>84</v>
      </c>
      <c r="L758" s="5">
        <f t="shared" si="35"/>
        <v>7.9761502981212734E-2</v>
      </c>
    </row>
    <row r="759" spans="1:12" x14ac:dyDescent="0.25">
      <c r="A759" t="s">
        <v>777</v>
      </c>
      <c r="B759" t="s">
        <v>14</v>
      </c>
      <c r="C759" s="10">
        <v>45520</v>
      </c>
      <c r="D759" s="18" t="str">
        <f t="shared" si="33"/>
        <v>August</v>
      </c>
      <c r="E759" s="11" t="str">
        <f t="shared" si="34"/>
        <v>2024</v>
      </c>
      <c r="F759" t="s">
        <v>15</v>
      </c>
      <c r="G759" s="2">
        <v>34138</v>
      </c>
      <c r="H759" s="2">
        <v>22857</v>
      </c>
      <c r="I759" s="2">
        <v>1562</v>
      </c>
      <c r="J759" s="2">
        <v>277</v>
      </c>
      <c r="K759" s="2">
        <v>160</v>
      </c>
      <c r="L759" s="5">
        <f t="shared" si="35"/>
        <v>8.7456796604978779E-2</v>
      </c>
    </row>
    <row r="760" spans="1:12" x14ac:dyDescent="0.25">
      <c r="A760" t="s">
        <v>778</v>
      </c>
      <c r="B760" t="s">
        <v>11</v>
      </c>
      <c r="C760" s="10">
        <v>45868</v>
      </c>
      <c r="D760" s="18" t="str">
        <f t="shared" si="33"/>
        <v>July</v>
      </c>
      <c r="E760" s="11" t="str">
        <f t="shared" si="34"/>
        <v>2025</v>
      </c>
      <c r="F760" t="s">
        <v>15</v>
      </c>
      <c r="G760" s="2">
        <v>13034</v>
      </c>
      <c r="H760" s="2">
        <v>6610</v>
      </c>
      <c r="I760" s="2">
        <v>129</v>
      </c>
      <c r="J760" s="2">
        <v>69</v>
      </c>
      <c r="K760" s="2">
        <v>57</v>
      </c>
      <c r="L760" s="5">
        <f t="shared" si="35"/>
        <v>3.8577912254160365E-2</v>
      </c>
    </row>
    <row r="761" spans="1:12" x14ac:dyDescent="0.25">
      <c r="A761" t="s">
        <v>779</v>
      </c>
      <c r="B761" t="s">
        <v>26</v>
      </c>
      <c r="C761" s="10">
        <v>45459</v>
      </c>
      <c r="D761" s="18" t="str">
        <f t="shared" si="33"/>
        <v>June</v>
      </c>
      <c r="E761" s="11" t="str">
        <f t="shared" si="34"/>
        <v>2024</v>
      </c>
      <c r="F761" t="s">
        <v>32</v>
      </c>
      <c r="G761" s="2">
        <v>16931</v>
      </c>
      <c r="H761" s="2">
        <v>10669</v>
      </c>
      <c r="I761" s="2">
        <v>552</v>
      </c>
      <c r="J761" s="2">
        <v>208</v>
      </c>
      <c r="K761" s="2">
        <v>63</v>
      </c>
      <c r="L761" s="5">
        <f t="shared" si="35"/>
        <v>7.7139375761552165E-2</v>
      </c>
    </row>
    <row r="762" spans="1:12" x14ac:dyDescent="0.25">
      <c r="A762" t="s">
        <v>780</v>
      </c>
      <c r="B762" t="s">
        <v>20</v>
      </c>
      <c r="C762" s="10">
        <v>45693</v>
      </c>
      <c r="D762" s="18" t="str">
        <f t="shared" si="33"/>
        <v>February</v>
      </c>
      <c r="E762" s="11" t="str">
        <f t="shared" si="34"/>
        <v>2025</v>
      </c>
      <c r="F762" t="s">
        <v>18</v>
      </c>
      <c r="G762" s="2">
        <v>470236</v>
      </c>
      <c r="H762" s="2">
        <v>181713</v>
      </c>
      <c r="I762" s="2">
        <v>14405</v>
      </c>
      <c r="J762" s="2">
        <v>1979</v>
      </c>
      <c r="K762" s="2">
        <v>3187</v>
      </c>
      <c r="L762" s="5">
        <f t="shared" si="35"/>
        <v>0.10770280607331341</v>
      </c>
    </row>
    <row r="763" spans="1:12" x14ac:dyDescent="0.25">
      <c r="A763" t="s">
        <v>781</v>
      </c>
      <c r="B763" t="s">
        <v>20</v>
      </c>
      <c r="C763" s="10">
        <v>45410</v>
      </c>
      <c r="D763" s="18" t="str">
        <f t="shared" si="33"/>
        <v>April</v>
      </c>
      <c r="E763" s="11" t="str">
        <f t="shared" si="34"/>
        <v>2024</v>
      </c>
      <c r="F763" t="s">
        <v>24</v>
      </c>
      <c r="G763" s="2">
        <v>137714</v>
      </c>
      <c r="H763" s="2">
        <v>93775</v>
      </c>
      <c r="I763" s="2">
        <v>9583</v>
      </c>
      <c r="J763" s="2">
        <v>1045</v>
      </c>
      <c r="K763" s="2">
        <v>1334</v>
      </c>
      <c r="L763" s="5">
        <f t="shared" si="35"/>
        <v>0.12756065049320181</v>
      </c>
    </row>
    <row r="764" spans="1:12" x14ac:dyDescent="0.25">
      <c r="A764" t="s">
        <v>782</v>
      </c>
      <c r="B764" t="s">
        <v>11</v>
      </c>
      <c r="C764" s="10">
        <v>45939</v>
      </c>
      <c r="D764" s="18" t="str">
        <f t="shared" si="33"/>
        <v>October</v>
      </c>
      <c r="E764" s="11" t="str">
        <f t="shared" si="34"/>
        <v>2025</v>
      </c>
      <c r="F764" t="s">
        <v>15</v>
      </c>
      <c r="G764" s="2">
        <v>6286</v>
      </c>
      <c r="H764" s="2">
        <v>4154</v>
      </c>
      <c r="I764" s="2">
        <v>141</v>
      </c>
      <c r="J764" s="2">
        <v>22</v>
      </c>
      <c r="K764" s="2">
        <v>72</v>
      </c>
      <c r="L764" s="5">
        <f t="shared" si="35"/>
        <v>5.6571978815599423E-2</v>
      </c>
    </row>
    <row r="765" spans="1:12" x14ac:dyDescent="0.25">
      <c r="A765" t="s">
        <v>783</v>
      </c>
      <c r="B765" t="s">
        <v>17</v>
      </c>
      <c r="C765" s="10">
        <v>45699</v>
      </c>
      <c r="D765" s="18" t="str">
        <f t="shared" si="33"/>
        <v>February</v>
      </c>
      <c r="E765" s="11" t="str">
        <f t="shared" si="34"/>
        <v>2025</v>
      </c>
      <c r="F765" t="s">
        <v>15</v>
      </c>
      <c r="G765" s="2">
        <v>17035</v>
      </c>
      <c r="H765" s="2">
        <v>13302</v>
      </c>
      <c r="I765" s="2">
        <v>143</v>
      </c>
      <c r="J765" s="2">
        <v>64</v>
      </c>
      <c r="K765" s="2">
        <v>31</v>
      </c>
      <c r="L765" s="5">
        <f t="shared" si="35"/>
        <v>1.7892046308825741E-2</v>
      </c>
    </row>
    <row r="766" spans="1:12" x14ac:dyDescent="0.25">
      <c r="A766" t="s">
        <v>784</v>
      </c>
      <c r="B766" t="s">
        <v>20</v>
      </c>
      <c r="C766" s="10">
        <v>45336</v>
      </c>
      <c r="D766" s="18" t="str">
        <f t="shared" si="33"/>
        <v>February</v>
      </c>
      <c r="E766" s="11" t="str">
        <f t="shared" si="34"/>
        <v>2024</v>
      </c>
      <c r="F766" t="s">
        <v>18</v>
      </c>
      <c r="G766" s="2">
        <v>22629</v>
      </c>
      <c r="H766" s="2">
        <v>13973</v>
      </c>
      <c r="I766" s="2">
        <v>1169</v>
      </c>
      <c r="J766" s="2">
        <v>217</v>
      </c>
      <c r="K766" s="2">
        <v>656</v>
      </c>
      <c r="L766" s="5">
        <f t="shared" si="35"/>
        <v>0.14613898232305159</v>
      </c>
    </row>
    <row r="767" spans="1:12" x14ac:dyDescent="0.25">
      <c r="A767" t="s">
        <v>785</v>
      </c>
      <c r="B767" t="s">
        <v>11</v>
      </c>
      <c r="C767" s="10">
        <v>45825</v>
      </c>
      <c r="D767" s="18" t="str">
        <f t="shared" si="33"/>
        <v>June</v>
      </c>
      <c r="E767" s="11" t="str">
        <f t="shared" si="34"/>
        <v>2025</v>
      </c>
      <c r="F767" t="s">
        <v>15</v>
      </c>
      <c r="G767" s="2">
        <v>10886</v>
      </c>
      <c r="H767" s="2">
        <v>5263</v>
      </c>
      <c r="I767" s="2">
        <v>168</v>
      </c>
      <c r="J767" s="2">
        <v>100</v>
      </c>
      <c r="K767" s="2">
        <v>72</v>
      </c>
      <c r="L767" s="5">
        <f t="shared" si="35"/>
        <v>6.4601938058141739E-2</v>
      </c>
    </row>
    <row r="768" spans="1:12" x14ac:dyDescent="0.25">
      <c r="A768" t="s">
        <v>786</v>
      </c>
      <c r="B768" t="s">
        <v>14</v>
      </c>
      <c r="C768" s="10">
        <v>45918</v>
      </c>
      <c r="D768" s="18" t="str">
        <f t="shared" si="33"/>
        <v>September</v>
      </c>
      <c r="E768" s="11" t="str">
        <f t="shared" si="34"/>
        <v>2025</v>
      </c>
      <c r="F768" t="s">
        <v>24</v>
      </c>
      <c r="G768" s="2">
        <v>16928</v>
      </c>
      <c r="H768" s="2">
        <v>9735</v>
      </c>
      <c r="I768" s="2">
        <v>518</v>
      </c>
      <c r="J768" s="2">
        <v>120</v>
      </c>
      <c r="K768" s="2">
        <v>90</v>
      </c>
      <c r="L768" s="5">
        <f t="shared" si="35"/>
        <v>7.4781715459681555E-2</v>
      </c>
    </row>
    <row r="769" spans="1:12" x14ac:dyDescent="0.25">
      <c r="A769" t="s">
        <v>787</v>
      </c>
      <c r="B769" t="s">
        <v>11</v>
      </c>
      <c r="C769" s="10">
        <v>45980</v>
      </c>
      <c r="D769" s="18" t="str">
        <f t="shared" si="33"/>
        <v>November</v>
      </c>
      <c r="E769" s="11" t="str">
        <f t="shared" si="34"/>
        <v>2025</v>
      </c>
      <c r="F769" t="s">
        <v>12</v>
      </c>
      <c r="G769" s="2">
        <v>7099</v>
      </c>
      <c r="H769" s="2">
        <v>3168</v>
      </c>
      <c r="I769" s="2">
        <v>118</v>
      </c>
      <c r="J769" s="2">
        <v>32</v>
      </c>
      <c r="K769" s="2">
        <v>91</v>
      </c>
      <c r="L769" s="5">
        <f t="shared" si="35"/>
        <v>7.607323232323232E-2</v>
      </c>
    </row>
    <row r="770" spans="1:12" x14ac:dyDescent="0.25">
      <c r="A770" t="s">
        <v>788</v>
      </c>
      <c r="B770" t="s">
        <v>17</v>
      </c>
      <c r="C770" s="10">
        <v>45466</v>
      </c>
      <c r="D770" s="18" t="str">
        <f t="shared" si="33"/>
        <v>June</v>
      </c>
      <c r="E770" s="11" t="str">
        <f t="shared" si="34"/>
        <v>2024</v>
      </c>
      <c r="F770" t="s">
        <v>18</v>
      </c>
      <c r="G770" s="2">
        <v>36817</v>
      </c>
      <c r="H770" s="2">
        <v>28588</v>
      </c>
      <c r="I770" s="2">
        <v>585</v>
      </c>
      <c r="J770" s="2">
        <v>184</v>
      </c>
      <c r="K770" s="2">
        <v>234</v>
      </c>
      <c r="L770" s="5">
        <f t="shared" si="35"/>
        <v>3.5084650902476561E-2</v>
      </c>
    </row>
    <row r="771" spans="1:12" x14ac:dyDescent="0.25">
      <c r="A771" t="s">
        <v>789</v>
      </c>
      <c r="B771" t="s">
        <v>20</v>
      </c>
      <c r="C771" s="10">
        <v>45927</v>
      </c>
      <c r="D771" s="18" t="str">
        <f t="shared" ref="D771:D834" si="36">TEXT($C771,"MMMM")</f>
        <v>September</v>
      </c>
      <c r="E771" s="11" t="str">
        <f t="shared" ref="E771:E834" si="37">TEXT(C771,"yyyy")</f>
        <v>2025</v>
      </c>
      <c r="F771" t="s">
        <v>18</v>
      </c>
      <c r="G771" s="2">
        <v>250782</v>
      </c>
      <c r="H771" s="2">
        <v>167014</v>
      </c>
      <c r="I771" s="2">
        <v>11930</v>
      </c>
      <c r="J771" s="2">
        <v>3434</v>
      </c>
      <c r="K771" s="2">
        <v>6584</v>
      </c>
      <c r="L771" s="5">
        <f t="shared" ref="L771:L834" si="38">SUM(I771:K771)/H771</f>
        <v>0.13141413294693857</v>
      </c>
    </row>
    <row r="772" spans="1:12" x14ac:dyDescent="0.25">
      <c r="A772" t="s">
        <v>790</v>
      </c>
      <c r="B772" t="s">
        <v>17</v>
      </c>
      <c r="C772" s="10">
        <v>45642</v>
      </c>
      <c r="D772" s="18" t="str">
        <f t="shared" si="36"/>
        <v>December</v>
      </c>
      <c r="E772" s="11" t="str">
        <f t="shared" si="37"/>
        <v>2024</v>
      </c>
      <c r="F772" t="s">
        <v>15</v>
      </c>
      <c r="G772" s="2">
        <v>2682</v>
      </c>
      <c r="H772" s="2">
        <v>1770</v>
      </c>
      <c r="I772" s="2">
        <v>44</v>
      </c>
      <c r="J772" s="2">
        <v>8</v>
      </c>
      <c r="K772" s="2">
        <v>11</v>
      </c>
      <c r="L772" s="5">
        <f t="shared" si="38"/>
        <v>3.5593220338983052E-2</v>
      </c>
    </row>
    <row r="773" spans="1:12" x14ac:dyDescent="0.25">
      <c r="A773" t="s">
        <v>791</v>
      </c>
      <c r="B773" t="s">
        <v>11</v>
      </c>
      <c r="C773" s="10">
        <v>45959</v>
      </c>
      <c r="D773" s="18" t="str">
        <f t="shared" si="36"/>
        <v>October</v>
      </c>
      <c r="E773" s="11" t="str">
        <f t="shared" si="37"/>
        <v>2025</v>
      </c>
      <c r="F773" t="s">
        <v>15</v>
      </c>
      <c r="G773" s="2">
        <v>20009</v>
      </c>
      <c r="H773" s="2">
        <v>8468</v>
      </c>
      <c r="I773" s="2">
        <v>296</v>
      </c>
      <c r="J773" s="2">
        <v>123</v>
      </c>
      <c r="K773" s="2">
        <v>63</v>
      </c>
      <c r="L773" s="5">
        <f t="shared" si="38"/>
        <v>5.6920170051960324E-2</v>
      </c>
    </row>
    <row r="774" spans="1:12" x14ac:dyDescent="0.25">
      <c r="A774" t="s">
        <v>792</v>
      </c>
      <c r="B774" t="s">
        <v>11</v>
      </c>
      <c r="C774" s="10">
        <v>45415</v>
      </c>
      <c r="D774" s="18" t="str">
        <f t="shared" si="36"/>
        <v>May</v>
      </c>
      <c r="E774" s="11" t="str">
        <f t="shared" si="37"/>
        <v>2024</v>
      </c>
      <c r="F774" t="s">
        <v>12</v>
      </c>
      <c r="G774" s="2">
        <v>2335</v>
      </c>
      <c r="H774" s="2">
        <v>1610</v>
      </c>
      <c r="I774" s="2">
        <v>78</v>
      </c>
      <c r="J774" s="2">
        <v>26</v>
      </c>
      <c r="K774" s="2">
        <v>42</v>
      </c>
      <c r="L774" s="5">
        <f t="shared" si="38"/>
        <v>9.0683229813664598E-2</v>
      </c>
    </row>
    <row r="775" spans="1:12" x14ac:dyDescent="0.25">
      <c r="A775" t="s">
        <v>793</v>
      </c>
      <c r="B775" t="s">
        <v>20</v>
      </c>
      <c r="C775" s="10">
        <v>45316</v>
      </c>
      <c r="D775" s="18" t="str">
        <f t="shared" si="36"/>
        <v>January</v>
      </c>
      <c r="E775" s="11" t="str">
        <f t="shared" si="37"/>
        <v>2024</v>
      </c>
      <c r="F775" t="s">
        <v>18</v>
      </c>
      <c r="G775" s="2">
        <v>34001</v>
      </c>
      <c r="H775" s="2">
        <v>18552</v>
      </c>
      <c r="I775" s="2">
        <v>671</v>
      </c>
      <c r="J775" s="2">
        <v>427</v>
      </c>
      <c r="K775" s="2">
        <v>524</v>
      </c>
      <c r="L775" s="5">
        <f t="shared" si="38"/>
        <v>8.7429926692539892E-2</v>
      </c>
    </row>
    <row r="776" spans="1:12" x14ac:dyDescent="0.25">
      <c r="A776" t="s">
        <v>794</v>
      </c>
      <c r="B776" t="s">
        <v>17</v>
      </c>
      <c r="C776" s="10">
        <v>45902</v>
      </c>
      <c r="D776" s="18" t="str">
        <f t="shared" si="36"/>
        <v>September</v>
      </c>
      <c r="E776" s="11" t="str">
        <f t="shared" si="37"/>
        <v>2025</v>
      </c>
      <c r="F776" t="s">
        <v>15</v>
      </c>
      <c r="G776" s="2">
        <v>7779</v>
      </c>
      <c r="H776" s="2">
        <v>5128</v>
      </c>
      <c r="I776" s="2">
        <v>116</v>
      </c>
      <c r="J776" s="2">
        <v>35</v>
      </c>
      <c r="K776" s="2">
        <v>34</v>
      </c>
      <c r="L776" s="5">
        <f t="shared" si="38"/>
        <v>3.6076443057722306E-2</v>
      </c>
    </row>
    <row r="777" spans="1:12" x14ac:dyDescent="0.25">
      <c r="A777" t="s">
        <v>795</v>
      </c>
      <c r="B777" t="s">
        <v>14</v>
      </c>
      <c r="C777" s="10">
        <v>45634</v>
      </c>
      <c r="D777" s="18" t="str">
        <f t="shared" si="36"/>
        <v>December</v>
      </c>
      <c r="E777" s="11" t="str">
        <f t="shared" si="37"/>
        <v>2024</v>
      </c>
      <c r="F777" t="s">
        <v>24</v>
      </c>
      <c r="G777" s="2">
        <v>63122</v>
      </c>
      <c r="H777" s="2">
        <v>36317</v>
      </c>
      <c r="I777" s="2">
        <v>1019</v>
      </c>
      <c r="J777" s="2">
        <v>314</v>
      </c>
      <c r="K777" s="2">
        <v>154</v>
      </c>
      <c r="L777" s="5">
        <f t="shared" si="38"/>
        <v>4.0945011977861608E-2</v>
      </c>
    </row>
    <row r="778" spans="1:12" x14ac:dyDescent="0.25">
      <c r="A778" t="s">
        <v>796</v>
      </c>
      <c r="B778" t="s">
        <v>26</v>
      </c>
      <c r="C778" s="10">
        <v>45535</v>
      </c>
      <c r="D778" s="18" t="str">
        <f t="shared" si="36"/>
        <v>August</v>
      </c>
      <c r="E778" s="11" t="str">
        <f t="shared" si="37"/>
        <v>2024</v>
      </c>
      <c r="F778" t="s">
        <v>32</v>
      </c>
      <c r="G778" s="2">
        <v>25468</v>
      </c>
      <c r="H778" s="2">
        <v>16797</v>
      </c>
      <c r="I778" s="2">
        <v>877</v>
      </c>
      <c r="J778" s="2">
        <v>196</v>
      </c>
      <c r="K778" s="2">
        <v>215</v>
      </c>
      <c r="L778" s="5">
        <f t="shared" si="38"/>
        <v>7.6680359588021677E-2</v>
      </c>
    </row>
    <row r="779" spans="1:12" x14ac:dyDescent="0.25">
      <c r="A779" t="s">
        <v>797</v>
      </c>
      <c r="B779" t="s">
        <v>20</v>
      </c>
      <c r="C779" s="10">
        <v>45685</v>
      </c>
      <c r="D779" s="18" t="str">
        <f t="shared" si="36"/>
        <v>January</v>
      </c>
      <c r="E779" s="11" t="str">
        <f t="shared" si="37"/>
        <v>2025</v>
      </c>
      <c r="F779" t="s">
        <v>24</v>
      </c>
      <c r="G779" s="2">
        <v>272197</v>
      </c>
      <c r="H779" s="2">
        <v>148281</v>
      </c>
      <c r="I779" s="2">
        <v>5045</v>
      </c>
      <c r="J779" s="2">
        <v>3127</v>
      </c>
      <c r="K779" s="2">
        <v>3810</v>
      </c>
      <c r="L779" s="5">
        <f t="shared" si="38"/>
        <v>8.0806037186153312E-2</v>
      </c>
    </row>
    <row r="780" spans="1:12" x14ac:dyDescent="0.25">
      <c r="A780" t="s">
        <v>798</v>
      </c>
      <c r="B780" t="s">
        <v>26</v>
      </c>
      <c r="C780" s="10">
        <v>45924</v>
      </c>
      <c r="D780" s="18" t="str">
        <f t="shared" si="36"/>
        <v>September</v>
      </c>
      <c r="E780" s="11" t="str">
        <f t="shared" si="37"/>
        <v>2025</v>
      </c>
      <c r="F780" t="s">
        <v>15</v>
      </c>
      <c r="G780" s="2">
        <v>13512</v>
      </c>
      <c r="H780" s="2">
        <v>9567</v>
      </c>
      <c r="I780" s="2">
        <v>308</v>
      </c>
      <c r="J780" s="2">
        <v>60</v>
      </c>
      <c r="K780" s="2">
        <v>73</v>
      </c>
      <c r="L780" s="5">
        <f t="shared" si="38"/>
        <v>4.6095954844778929E-2</v>
      </c>
    </row>
    <row r="781" spans="1:12" x14ac:dyDescent="0.25">
      <c r="A781" t="s">
        <v>799</v>
      </c>
      <c r="B781" t="s">
        <v>20</v>
      </c>
      <c r="C781" s="10">
        <v>45827</v>
      </c>
      <c r="D781" s="18" t="str">
        <f t="shared" si="36"/>
        <v>June</v>
      </c>
      <c r="E781" s="11" t="str">
        <f t="shared" si="37"/>
        <v>2025</v>
      </c>
      <c r="F781" t="s">
        <v>18</v>
      </c>
      <c r="G781" s="2">
        <v>333804</v>
      </c>
      <c r="H781" s="2">
        <v>200609</v>
      </c>
      <c r="I781" s="2">
        <v>20034</v>
      </c>
      <c r="J781" s="2">
        <v>4299</v>
      </c>
      <c r="K781" s="2">
        <v>9831</v>
      </c>
      <c r="L781" s="5">
        <f t="shared" si="38"/>
        <v>0.17030143213913632</v>
      </c>
    </row>
    <row r="782" spans="1:12" x14ac:dyDescent="0.25">
      <c r="A782" t="s">
        <v>800</v>
      </c>
      <c r="B782" t="s">
        <v>26</v>
      </c>
      <c r="C782" s="10">
        <v>45705</v>
      </c>
      <c r="D782" s="18" t="str">
        <f t="shared" si="36"/>
        <v>February</v>
      </c>
      <c r="E782" s="11" t="str">
        <f t="shared" si="37"/>
        <v>2025</v>
      </c>
      <c r="F782" t="s">
        <v>32</v>
      </c>
      <c r="G782" s="2">
        <v>23579</v>
      </c>
      <c r="H782" s="2">
        <v>9773</v>
      </c>
      <c r="I782" s="2">
        <v>449</v>
      </c>
      <c r="J782" s="2">
        <v>138</v>
      </c>
      <c r="K782" s="2">
        <v>134</v>
      </c>
      <c r="L782" s="5">
        <f t="shared" si="38"/>
        <v>7.3774685357617928E-2</v>
      </c>
    </row>
    <row r="783" spans="1:12" x14ac:dyDescent="0.25">
      <c r="A783" t="s">
        <v>801</v>
      </c>
      <c r="B783" t="s">
        <v>11</v>
      </c>
      <c r="C783" s="10">
        <v>45445</v>
      </c>
      <c r="D783" s="18" t="str">
        <f t="shared" si="36"/>
        <v>June</v>
      </c>
      <c r="E783" s="11" t="str">
        <f t="shared" si="37"/>
        <v>2024</v>
      </c>
      <c r="F783" t="s">
        <v>15</v>
      </c>
      <c r="G783" s="2">
        <v>13503</v>
      </c>
      <c r="H783" s="2">
        <v>5399</v>
      </c>
      <c r="I783" s="2">
        <v>264</v>
      </c>
      <c r="J783" s="2">
        <v>61</v>
      </c>
      <c r="K783" s="2">
        <v>84</v>
      </c>
      <c r="L783" s="5">
        <f t="shared" si="38"/>
        <v>7.5754769401741057E-2</v>
      </c>
    </row>
    <row r="784" spans="1:12" x14ac:dyDescent="0.25">
      <c r="A784" t="s">
        <v>802</v>
      </c>
      <c r="B784" t="s">
        <v>11</v>
      </c>
      <c r="C784" s="10">
        <v>45488</v>
      </c>
      <c r="D784" s="18" t="str">
        <f t="shared" si="36"/>
        <v>July</v>
      </c>
      <c r="E784" s="11" t="str">
        <f t="shared" si="37"/>
        <v>2024</v>
      </c>
      <c r="F784" t="s">
        <v>32</v>
      </c>
      <c r="G784" s="2">
        <v>16980</v>
      </c>
      <c r="H784" s="2">
        <v>10531</v>
      </c>
      <c r="I784" s="2">
        <v>287</v>
      </c>
      <c r="J784" s="2">
        <v>68</v>
      </c>
      <c r="K784" s="2">
        <v>249</v>
      </c>
      <c r="L784" s="5">
        <f t="shared" si="38"/>
        <v>5.7354477257620357E-2</v>
      </c>
    </row>
    <row r="785" spans="1:12" x14ac:dyDescent="0.25">
      <c r="A785" t="s">
        <v>803</v>
      </c>
      <c r="B785" t="s">
        <v>11</v>
      </c>
      <c r="C785" s="10">
        <v>45513</v>
      </c>
      <c r="D785" s="18" t="str">
        <f t="shared" si="36"/>
        <v>August</v>
      </c>
      <c r="E785" s="11" t="str">
        <f t="shared" si="37"/>
        <v>2024</v>
      </c>
      <c r="F785" t="s">
        <v>32</v>
      </c>
      <c r="G785" s="2">
        <v>30937</v>
      </c>
      <c r="H785" s="2">
        <v>15088</v>
      </c>
      <c r="I785" s="2">
        <v>213</v>
      </c>
      <c r="J785" s="2">
        <v>73</v>
      </c>
      <c r="K785" s="2">
        <v>306</v>
      </c>
      <c r="L785" s="5">
        <f t="shared" si="38"/>
        <v>3.9236479321314952E-2</v>
      </c>
    </row>
    <row r="786" spans="1:12" x14ac:dyDescent="0.25">
      <c r="A786" t="s">
        <v>804</v>
      </c>
      <c r="B786" t="s">
        <v>11</v>
      </c>
      <c r="C786" s="10">
        <v>45958</v>
      </c>
      <c r="D786" s="18" t="str">
        <f t="shared" si="36"/>
        <v>October</v>
      </c>
      <c r="E786" s="11" t="str">
        <f t="shared" si="37"/>
        <v>2025</v>
      </c>
      <c r="F786" t="s">
        <v>15</v>
      </c>
      <c r="G786" s="2">
        <v>26470</v>
      </c>
      <c r="H786" s="2">
        <v>14840</v>
      </c>
      <c r="I786" s="2">
        <v>188</v>
      </c>
      <c r="J786" s="2">
        <v>83</v>
      </c>
      <c r="K786" s="2">
        <v>357</v>
      </c>
      <c r="L786" s="5">
        <f t="shared" si="38"/>
        <v>4.2318059299191371E-2</v>
      </c>
    </row>
    <row r="787" spans="1:12" x14ac:dyDescent="0.25">
      <c r="A787" t="s">
        <v>805</v>
      </c>
      <c r="B787" t="s">
        <v>20</v>
      </c>
      <c r="C787" s="10">
        <v>46007</v>
      </c>
      <c r="D787" s="18" t="str">
        <f t="shared" si="36"/>
        <v>December</v>
      </c>
      <c r="E787" s="11" t="str">
        <f t="shared" si="37"/>
        <v>2025</v>
      </c>
      <c r="F787" t="s">
        <v>24</v>
      </c>
      <c r="G787" s="2">
        <v>108168</v>
      </c>
      <c r="H787" s="2">
        <v>45234</v>
      </c>
      <c r="I787" s="2">
        <v>3836</v>
      </c>
      <c r="J787" s="2">
        <v>1170</v>
      </c>
      <c r="K787" s="2">
        <v>1513</v>
      </c>
      <c r="L787" s="5">
        <f t="shared" si="38"/>
        <v>0.14411725693062741</v>
      </c>
    </row>
    <row r="788" spans="1:12" x14ac:dyDescent="0.25">
      <c r="A788" t="s">
        <v>806</v>
      </c>
      <c r="B788" t="s">
        <v>11</v>
      </c>
      <c r="C788" s="10">
        <v>45312</v>
      </c>
      <c r="D788" s="18" t="str">
        <f t="shared" si="36"/>
        <v>January</v>
      </c>
      <c r="E788" s="11" t="str">
        <f t="shared" si="37"/>
        <v>2024</v>
      </c>
      <c r="F788" t="s">
        <v>32</v>
      </c>
      <c r="G788" s="2">
        <v>19486</v>
      </c>
      <c r="H788" s="2">
        <v>9257</v>
      </c>
      <c r="I788" s="2">
        <v>230</v>
      </c>
      <c r="J788" s="2">
        <v>72</v>
      </c>
      <c r="K788" s="2">
        <v>114</v>
      </c>
      <c r="L788" s="5">
        <f t="shared" si="38"/>
        <v>4.4938965107486226E-2</v>
      </c>
    </row>
    <row r="789" spans="1:12" x14ac:dyDescent="0.25">
      <c r="A789" t="s">
        <v>807</v>
      </c>
      <c r="B789" t="s">
        <v>20</v>
      </c>
      <c r="C789" s="10">
        <v>45368</v>
      </c>
      <c r="D789" s="18" t="str">
        <f t="shared" si="36"/>
        <v>March</v>
      </c>
      <c r="E789" s="11" t="str">
        <f t="shared" si="37"/>
        <v>2024</v>
      </c>
      <c r="F789" t="s">
        <v>18</v>
      </c>
      <c r="G789" s="2">
        <v>327325</v>
      </c>
      <c r="H789" s="2">
        <v>185924</v>
      </c>
      <c r="I789" s="2">
        <v>16944</v>
      </c>
      <c r="J789" s="2">
        <v>1712</v>
      </c>
      <c r="K789" s="2">
        <v>8146</v>
      </c>
      <c r="L789" s="5">
        <f t="shared" si="38"/>
        <v>0.1441556765129838</v>
      </c>
    </row>
    <row r="790" spans="1:12" x14ac:dyDescent="0.25">
      <c r="A790" t="s">
        <v>808</v>
      </c>
      <c r="B790" t="s">
        <v>20</v>
      </c>
      <c r="C790" s="10">
        <v>45650</v>
      </c>
      <c r="D790" s="18" t="str">
        <f t="shared" si="36"/>
        <v>December</v>
      </c>
      <c r="E790" s="11" t="str">
        <f t="shared" si="37"/>
        <v>2024</v>
      </c>
      <c r="F790" t="s">
        <v>18</v>
      </c>
      <c r="G790" s="2">
        <v>209403</v>
      </c>
      <c r="H790" s="2">
        <v>116276</v>
      </c>
      <c r="I790" s="2">
        <v>10312</v>
      </c>
      <c r="J790" s="2">
        <v>2772</v>
      </c>
      <c r="K790" s="2">
        <v>3701</v>
      </c>
      <c r="L790" s="5">
        <f t="shared" si="38"/>
        <v>0.14435481096700953</v>
      </c>
    </row>
    <row r="791" spans="1:12" x14ac:dyDescent="0.25">
      <c r="A791" t="s">
        <v>809</v>
      </c>
      <c r="B791" t="s">
        <v>14</v>
      </c>
      <c r="C791" s="10">
        <v>45812</v>
      </c>
      <c r="D791" s="18" t="str">
        <f t="shared" si="36"/>
        <v>June</v>
      </c>
      <c r="E791" s="11" t="str">
        <f t="shared" si="37"/>
        <v>2025</v>
      </c>
      <c r="F791" t="s">
        <v>32</v>
      </c>
      <c r="G791" s="2">
        <v>43665</v>
      </c>
      <c r="H791" s="2">
        <v>33548</v>
      </c>
      <c r="I791" s="2">
        <v>1507</v>
      </c>
      <c r="J791" s="2">
        <v>85</v>
      </c>
      <c r="K791" s="2">
        <v>318</v>
      </c>
      <c r="L791" s="5">
        <f t="shared" si="38"/>
        <v>5.6933349230952668E-2</v>
      </c>
    </row>
    <row r="792" spans="1:12" x14ac:dyDescent="0.25">
      <c r="A792" t="s">
        <v>810</v>
      </c>
      <c r="B792" t="s">
        <v>11</v>
      </c>
      <c r="C792" s="10">
        <v>45353</v>
      </c>
      <c r="D792" s="18" t="str">
        <f t="shared" si="36"/>
        <v>March</v>
      </c>
      <c r="E792" s="11" t="str">
        <f t="shared" si="37"/>
        <v>2024</v>
      </c>
      <c r="F792" t="s">
        <v>32</v>
      </c>
      <c r="G792" s="2">
        <v>44840</v>
      </c>
      <c r="H792" s="2">
        <v>30742</v>
      </c>
      <c r="I792" s="2">
        <v>948</v>
      </c>
      <c r="J792" s="2">
        <v>433</v>
      </c>
      <c r="K792" s="2">
        <v>515</v>
      </c>
      <c r="L792" s="5">
        <f t="shared" si="38"/>
        <v>6.1674582005074488E-2</v>
      </c>
    </row>
    <row r="793" spans="1:12" x14ac:dyDescent="0.25">
      <c r="A793" t="s">
        <v>811</v>
      </c>
      <c r="B793" t="s">
        <v>17</v>
      </c>
      <c r="C793" s="10">
        <v>45612</v>
      </c>
      <c r="D793" s="18" t="str">
        <f t="shared" si="36"/>
        <v>November</v>
      </c>
      <c r="E793" s="11" t="str">
        <f t="shared" si="37"/>
        <v>2024</v>
      </c>
      <c r="F793" t="s">
        <v>18</v>
      </c>
      <c r="G793" s="2">
        <v>28891</v>
      </c>
      <c r="H793" s="2">
        <v>24605</v>
      </c>
      <c r="I793" s="2">
        <v>695</v>
      </c>
      <c r="J793" s="2">
        <v>101</v>
      </c>
      <c r="K793" s="2">
        <v>324</v>
      </c>
      <c r="L793" s="5">
        <f t="shared" si="38"/>
        <v>4.5519203413940258E-2</v>
      </c>
    </row>
    <row r="794" spans="1:12" x14ac:dyDescent="0.25">
      <c r="A794" t="s">
        <v>812</v>
      </c>
      <c r="B794" t="s">
        <v>26</v>
      </c>
      <c r="C794" s="10">
        <v>45350</v>
      </c>
      <c r="D794" s="18" t="str">
        <f t="shared" si="36"/>
        <v>February</v>
      </c>
      <c r="E794" s="11" t="str">
        <f t="shared" si="37"/>
        <v>2024</v>
      </c>
      <c r="F794" t="s">
        <v>12</v>
      </c>
      <c r="G794" s="2">
        <v>19665</v>
      </c>
      <c r="H794" s="2">
        <v>13473</v>
      </c>
      <c r="I794" s="2">
        <v>511</v>
      </c>
      <c r="J794" s="2">
        <v>317</v>
      </c>
      <c r="K794" s="2">
        <v>157</v>
      </c>
      <c r="L794" s="5">
        <f t="shared" si="38"/>
        <v>7.3109181325614198E-2</v>
      </c>
    </row>
    <row r="795" spans="1:12" x14ac:dyDescent="0.25">
      <c r="A795" t="s">
        <v>813</v>
      </c>
      <c r="B795" t="s">
        <v>20</v>
      </c>
      <c r="C795" s="10">
        <v>45940</v>
      </c>
      <c r="D795" s="18" t="str">
        <f t="shared" si="36"/>
        <v>October</v>
      </c>
      <c r="E795" s="11" t="str">
        <f t="shared" si="37"/>
        <v>2025</v>
      </c>
      <c r="F795" t="s">
        <v>24</v>
      </c>
      <c r="G795" s="2">
        <v>309901</v>
      </c>
      <c r="H795" s="2">
        <v>126021</v>
      </c>
      <c r="I795" s="2">
        <v>6844</v>
      </c>
      <c r="J795" s="2">
        <v>677</v>
      </c>
      <c r="K795" s="2">
        <v>4597</v>
      </c>
      <c r="L795" s="5">
        <f t="shared" si="38"/>
        <v>9.6158576745145649E-2</v>
      </c>
    </row>
    <row r="796" spans="1:12" x14ac:dyDescent="0.25">
      <c r="A796" t="s">
        <v>814</v>
      </c>
      <c r="B796" t="s">
        <v>14</v>
      </c>
      <c r="C796" s="10">
        <v>45869</v>
      </c>
      <c r="D796" s="18" t="str">
        <f t="shared" si="36"/>
        <v>July</v>
      </c>
      <c r="E796" s="11" t="str">
        <f t="shared" si="37"/>
        <v>2025</v>
      </c>
      <c r="F796" t="s">
        <v>24</v>
      </c>
      <c r="G796" s="2">
        <v>78507</v>
      </c>
      <c r="H796" s="2">
        <v>44593</v>
      </c>
      <c r="I796" s="2">
        <v>3309</v>
      </c>
      <c r="J796" s="2">
        <v>647</v>
      </c>
      <c r="K796" s="2">
        <v>259</v>
      </c>
      <c r="L796" s="5">
        <f t="shared" si="38"/>
        <v>9.4521561680084312E-2</v>
      </c>
    </row>
    <row r="797" spans="1:12" x14ac:dyDescent="0.25">
      <c r="A797" t="s">
        <v>815</v>
      </c>
      <c r="B797" t="s">
        <v>17</v>
      </c>
      <c r="C797" s="10">
        <v>45662</v>
      </c>
      <c r="D797" s="18" t="str">
        <f t="shared" si="36"/>
        <v>January</v>
      </c>
      <c r="E797" s="11" t="str">
        <f t="shared" si="37"/>
        <v>2025</v>
      </c>
      <c r="F797" t="s">
        <v>12</v>
      </c>
      <c r="G797" s="2">
        <v>12523</v>
      </c>
      <c r="H797" s="2">
        <v>10237</v>
      </c>
      <c r="I797" s="2">
        <v>168</v>
      </c>
      <c r="J797" s="2">
        <v>77</v>
      </c>
      <c r="K797" s="2">
        <v>131</v>
      </c>
      <c r="L797" s="5">
        <f t="shared" si="38"/>
        <v>3.6729510598808246E-2</v>
      </c>
    </row>
    <row r="798" spans="1:12" x14ac:dyDescent="0.25">
      <c r="A798" t="s">
        <v>816</v>
      </c>
      <c r="B798" t="s">
        <v>14</v>
      </c>
      <c r="C798" s="10">
        <v>45783</v>
      </c>
      <c r="D798" s="18" t="str">
        <f t="shared" si="36"/>
        <v>May</v>
      </c>
      <c r="E798" s="11" t="str">
        <f t="shared" si="37"/>
        <v>2025</v>
      </c>
      <c r="F798" t="s">
        <v>24</v>
      </c>
      <c r="G798" s="2">
        <v>16546</v>
      </c>
      <c r="H798" s="2">
        <v>10784</v>
      </c>
      <c r="I798" s="2">
        <v>795</v>
      </c>
      <c r="J798" s="2">
        <v>89</v>
      </c>
      <c r="K798" s="2">
        <v>64</v>
      </c>
      <c r="L798" s="5">
        <f t="shared" si="38"/>
        <v>8.7908011869436198E-2</v>
      </c>
    </row>
    <row r="799" spans="1:12" x14ac:dyDescent="0.25">
      <c r="A799" t="s">
        <v>817</v>
      </c>
      <c r="B799" t="s">
        <v>17</v>
      </c>
      <c r="C799" s="10">
        <v>45778</v>
      </c>
      <c r="D799" s="18" t="str">
        <f t="shared" si="36"/>
        <v>May</v>
      </c>
      <c r="E799" s="11" t="str">
        <f t="shared" si="37"/>
        <v>2025</v>
      </c>
      <c r="F799" t="s">
        <v>12</v>
      </c>
      <c r="G799" s="2">
        <v>22672</v>
      </c>
      <c r="H799" s="2">
        <v>13697</v>
      </c>
      <c r="I799" s="2">
        <v>253</v>
      </c>
      <c r="J799" s="2">
        <v>45</v>
      </c>
      <c r="K799" s="2">
        <v>150</v>
      </c>
      <c r="L799" s="5">
        <f t="shared" si="38"/>
        <v>3.2707892239176459E-2</v>
      </c>
    </row>
    <row r="800" spans="1:12" x14ac:dyDescent="0.25">
      <c r="A800" t="s">
        <v>818</v>
      </c>
      <c r="B800" t="s">
        <v>14</v>
      </c>
      <c r="C800" s="10">
        <v>45580</v>
      </c>
      <c r="D800" s="18" t="str">
        <f t="shared" si="36"/>
        <v>October</v>
      </c>
      <c r="E800" s="11" t="str">
        <f t="shared" si="37"/>
        <v>2024</v>
      </c>
      <c r="F800" t="s">
        <v>32</v>
      </c>
      <c r="G800" s="2">
        <v>72621</v>
      </c>
      <c r="H800" s="2">
        <v>56147</v>
      </c>
      <c r="I800" s="2">
        <v>4186</v>
      </c>
      <c r="J800" s="2">
        <v>283</v>
      </c>
      <c r="K800" s="2">
        <v>178</v>
      </c>
      <c r="L800" s="5">
        <f t="shared" si="38"/>
        <v>8.2764885033928801E-2</v>
      </c>
    </row>
    <row r="801" spans="1:12" x14ac:dyDescent="0.25">
      <c r="A801" t="s">
        <v>819</v>
      </c>
      <c r="B801" t="s">
        <v>17</v>
      </c>
      <c r="C801" s="10">
        <v>45511</v>
      </c>
      <c r="D801" s="18" t="str">
        <f t="shared" si="36"/>
        <v>August</v>
      </c>
      <c r="E801" s="11" t="str">
        <f t="shared" si="37"/>
        <v>2024</v>
      </c>
      <c r="F801" t="s">
        <v>15</v>
      </c>
      <c r="G801" s="2">
        <v>16084</v>
      </c>
      <c r="H801" s="2">
        <v>13865</v>
      </c>
      <c r="I801" s="2">
        <v>227</v>
      </c>
      <c r="J801" s="2">
        <v>107</v>
      </c>
      <c r="K801" s="2">
        <v>245</v>
      </c>
      <c r="L801" s="5">
        <f t="shared" si="38"/>
        <v>4.175982690227191E-2</v>
      </c>
    </row>
    <row r="802" spans="1:12" x14ac:dyDescent="0.25">
      <c r="A802" t="s">
        <v>820</v>
      </c>
      <c r="B802" t="s">
        <v>14</v>
      </c>
      <c r="C802" s="10">
        <v>45373</v>
      </c>
      <c r="D802" s="18" t="str">
        <f t="shared" si="36"/>
        <v>March</v>
      </c>
      <c r="E802" s="11" t="str">
        <f t="shared" si="37"/>
        <v>2024</v>
      </c>
      <c r="F802" t="s">
        <v>24</v>
      </c>
      <c r="G802" s="2">
        <v>8929</v>
      </c>
      <c r="H802" s="2">
        <v>7013</v>
      </c>
      <c r="I802" s="2">
        <v>541</v>
      </c>
      <c r="J802" s="2">
        <v>94</v>
      </c>
      <c r="K802" s="2">
        <v>47</v>
      </c>
      <c r="L802" s="5">
        <f t="shared" si="38"/>
        <v>9.7247968059318415E-2</v>
      </c>
    </row>
    <row r="803" spans="1:12" x14ac:dyDescent="0.25">
      <c r="A803" t="s">
        <v>821</v>
      </c>
      <c r="B803" t="s">
        <v>11</v>
      </c>
      <c r="C803" s="10">
        <v>45780</v>
      </c>
      <c r="D803" s="18" t="str">
        <f t="shared" si="36"/>
        <v>May</v>
      </c>
      <c r="E803" s="11" t="str">
        <f t="shared" si="37"/>
        <v>2025</v>
      </c>
      <c r="F803" t="s">
        <v>12</v>
      </c>
      <c r="G803" s="2">
        <v>15199</v>
      </c>
      <c r="H803" s="2">
        <v>8810</v>
      </c>
      <c r="I803" s="2">
        <v>264</v>
      </c>
      <c r="J803" s="2">
        <v>29</v>
      </c>
      <c r="K803" s="2">
        <v>151</v>
      </c>
      <c r="L803" s="5">
        <f t="shared" si="38"/>
        <v>5.0397275822928488E-2</v>
      </c>
    </row>
    <row r="804" spans="1:12" x14ac:dyDescent="0.25">
      <c r="A804" t="s">
        <v>822</v>
      </c>
      <c r="B804" t="s">
        <v>20</v>
      </c>
      <c r="C804" s="10">
        <v>45643</v>
      </c>
      <c r="D804" s="18" t="str">
        <f t="shared" si="36"/>
        <v>December</v>
      </c>
      <c r="E804" s="11" t="str">
        <f t="shared" si="37"/>
        <v>2024</v>
      </c>
      <c r="F804" t="s">
        <v>24</v>
      </c>
      <c r="G804" s="2">
        <v>31608</v>
      </c>
      <c r="H804" s="2">
        <v>10540</v>
      </c>
      <c r="I804" s="2">
        <v>499</v>
      </c>
      <c r="J804" s="2">
        <v>63</v>
      </c>
      <c r="K804" s="2">
        <v>116</v>
      </c>
      <c r="L804" s="5">
        <f t="shared" si="38"/>
        <v>6.4326375711574957E-2</v>
      </c>
    </row>
    <row r="805" spans="1:12" x14ac:dyDescent="0.25">
      <c r="A805" t="s">
        <v>823</v>
      </c>
      <c r="B805" t="s">
        <v>17</v>
      </c>
      <c r="C805" s="10">
        <v>45657</v>
      </c>
      <c r="D805" s="18" t="str">
        <f t="shared" si="36"/>
        <v>December</v>
      </c>
      <c r="E805" s="11" t="str">
        <f t="shared" si="37"/>
        <v>2024</v>
      </c>
      <c r="F805" t="s">
        <v>15</v>
      </c>
      <c r="G805" s="2">
        <v>18381</v>
      </c>
      <c r="H805" s="2">
        <v>12860</v>
      </c>
      <c r="I805" s="2">
        <v>251</v>
      </c>
      <c r="J805" s="2">
        <v>16</v>
      </c>
      <c r="K805" s="2">
        <v>137</v>
      </c>
      <c r="L805" s="5">
        <f t="shared" si="38"/>
        <v>3.1415241057542766E-2</v>
      </c>
    </row>
    <row r="806" spans="1:12" x14ac:dyDescent="0.25">
      <c r="A806" t="s">
        <v>824</v>
      </c>
      <c r="B806" t="s">
        <v>14</v>
      </c>
      <c r="C806" s="10">
        <v>45650</v>
      </c>
      <c r="D806" s="18" t="str">
        <f t="shared" si="36"/>
        <v>December</v>
      </c>
      <c r="E806" s="11" t="str">
        <f t="shared" si="37"/>
        <v>2024</v>
      </c>
      <c r="F806" t="s">
        <v>24</v>
      </c>
      <c r="G806" s="2">
        <v>8019</v>
      </c>
      <c r="H806" s="2">
        <v>4735</v>
      </c>
      <c r="I806" s="2">
        <v>360</v>
      </c>
      <c r="J806" s="2">
        <v>13</v>
      </c>
      <c r="K806" s="2">
        <v>22</v>
      </c>
      <c r="L806" s="5">
        <f t="shared" si="38"/>
        <v>8.3421330517423439E-2</v>
      </c>
    </row>
    <row r="807" spans="1:12" x14ac:dyDescent="0.25">
      <c r="A807" t="s">
        <v>825</v>
      </c>
      <c r="B807" t="s">
        <v>11</v>
      </c>
      <c r="C807" s="10">
        <v>45777</v>
      </c>
      <c r="D807" s="18" t="str">
        <f t="shared" si="36"/>
        <v>April</v>
      </c>
      <c r="E807" s="11" t="str">
        <f t="shared" si="37"/>
        <v>2025</v>
      </c>
      <c r="F807" t="s">
        <v>18</v>
      </c>
      <c r="G807" s="2">
        <v>85320</v>
      </c>
      <c r="H807" s="2">
        <v>51527</v>
      </c>
      <c r="I807" s="2">
        <v>2350</v>
      </c>
      <c r="J807" s="2">
        <v>759</v>
      </c>
      <c r="K807" s="2">
        <v>509</v>
      </c>
      <c r="L807" s="5">
        <f t="shared" si="38"/>
        <v>7.0215615114406035E-2</v>
      </c>
    </row>
    <row r="808" spans="1:12" x14ac:dyDescent="0.25">
      <c r="A808" t="s">
        <v>826</v>
      </c>
      <c r="B808" t="s">
        <v>14</v>
      </c>
      <c r="C808" s="10">
        <v>45476</v>
      </c>
      <c r="D808" s="18" t="str">
        <f t="shared" si="36"/>
        <v>July</v>
      </c>
      <c r="E808" s="11" t="str">
        <f t="shared" si="37"/>
        <v>2024</v>
      </c>
      <c r="F808" t="s">
        <v>32</v>
      </c>
      <c r="G808" s="2">
        <v>38897</v>
      </c>
      <c r="H808" s="2">
        <v>30186</v>
      </c>
      <c r="I808" s="2">
        <v>786</v>
      </c>
      <c r="J808" s="2">
        <v>91</v>
      </c>
      <c r="K808" s="2">
        <v>102</v>
      </c>
      <c r="L808" s="5">
        <f t="shared" si="38"/>
        <v>3.2432253362485917E-2</v>
      </c>
    </row>
    <row r="809" spans="1:12" x14ac:dyDescent="0.25">
      <c r="A809" t="s">
        <v>827</v>
      </c>
      <c r="B809" t="s">
        <v>11</v>
      </c>
      <c r="C809" s="10">
        <v>45766</v>
      </c>
      <c r="D809" s="18" t="str">
        <f t="shared" si="36"/>
        <v>April</v>
      </c>
      <c r="E809" s="11" t="str">
        <f t="shared" si="37"/>
        <v>2025</v>
      </c>
      <c r="F809" t="s">
        <v>32</v>
      </c>
      <c r="G809" s="2">
        <v>34622</v>
      </c>
      <c r="H809" s="2">
        <v>15612</v>
      </c>
      <c r="I809" s="2">
        <v>653</v>
      </c>
      <c r="J809" s="2">
        <v>91</v>
      </c>
      <c r="K809" s="2">
        <v>213</v>
      </c>
      <c r="L809" s="5">
        <f t="shared" si="38"/>
        <v>6.1299000768639506E-2</v>
      </c>
    </row>
    <row r="810" spans="1:12" x14ac:dyDescent="0.25">
      <c r="A810" t="s">
        <v>828</v>
      </c>
      <c r="B810" t="s">
        <v>11</v>
      </c>
      <c r="C810" s="10">
        <v>45838</v>
      </c>
      <c r="D810" s="18" t="str">
        <f t="shared" si="36"/>
        <v>June</v>
      </c>
      <c r="E810" s="11" t="str">
        <f t="shared" si="37"/>
        <v>2025</v>
      </c>
      <c r="F810" t="s">
        <v>12</v>
      </c>
      <c r="G810" s="2">
        <v>896</v>
      </c>
      <c r="H810" s="2">
        <v>466</v>
      </c>
      <c r="I810" s="2">
        <v>18</v>
      </c>
      <c r="J810" s="2">
        <v>3</v>
      </c>
      <c r="K810" s="2">
        <v>10</v>
      </c>
      <c r="L810" s="5">
        <f t="shared" si="38"/>
        <v>6.652360515021459E-2</v>
      </c>
    </row>
    <row r="811" spans="1:12" x14ac:dyDescent="0.25">
      <c r="A811" t="s">
        <v>829</v>
      </c>
      <c r="B811" t="s">
        <v>20</v>
      </c>
      <c r="C811" s="10">
        <v>45796</v>
      </c>
      <c r="D811" s="18" t="str">
        <f t="shared" si="36"/>
        <v>May</v>
      </c>
      <c r="E811" s="11" t="str">
        <f t="shared" si="37"/>
        <v>2025</v>
      </c>
      <c r="F811" t="s">
        <v>24</v>
      </c>
      <c r="G811" s="2">
        <v>267198</v>
      </c>
      <c r="H811" s="2">
        <v>130450</v>
      </c>
      <c r="I811" s="2">
        <v>15382</v>
      </c>
      <c r="J811" s="2">
        <v>954</v>
      </c>
      <c r="K811" s="2">
        <v>2977</v>
      </c>
      <c r="L811" s="5">
        <f t="shared" si="38"/>
        <v>0.14804906094289</v>
      </c>
    </row>
    <row r="812" spans="1:12" x14ac:dyDescent="0.25">
      <c r="A812" t="s">
        <v>830</v>
      </c>
      <c r="B812" t="s">
        <v>11</v>
      </c>
      <c r="C812" s="10">
        <v>45795</v>
      </c>
      <c r="D812" s="18" t="str">
        <f t="shared" si="36"/>
        <v>May</v>
      </c>
      <c r="E812" s="11" t="str">
        <f t="shared" si="37"/>
        <v>2025</v>
      </c>
      <c r="F812" t="s">
        <v>32</v>
      </c>
      <c r="G812" s="2">
        <v>5004</v>
      </c>
      <c r="H812" s="2">
        <v>2876</v>
      </c>
      <c r="I812" s="2">
        <v>33</v>
      </c>
      <c r="J812" s="2">
        <v>9</v>
      </c>
      <c r="K812" s="2">
        <v>36</v>
      </c>
      <c r="L812" s="5">
        <f t="shared" si="38"/>
        <v>2.7121001390820583E-2</v>
      </c>
    </row>
    <row r="813" spans="1:12" x14ac:dyDescent="0.25">
      <c r="A813" t="s">
        <v>831</v>
      </c>
      <c r="B813" t="s">
        <v>14</v>
      </c>
      <c r="C813" s="10">
        <v>46009</v>
      </c>
      <c r="D813" s="18" t="str">
        <f t="shared" si="36"/>
        <v>December</v>
      </c>
      <c r="E813" s="11" t="str">
        <f t="shared" si="37"/>
        <v>2025</v>
      </c>
      <c r="F813" t="s">
        <v>24</v>
      </c>
      <c r="G813" s="2">
        <v>92027</v>
      </c>
      <c r="H813" s="2">
        <v>71596</v>
      </c>
      <c r="I813" s="2">
        <v>1879</v>
      </c>
      <c r="J813" s="2">
        <v>757</v>
      </c>
      <c r="K813" s="2">
        <v>301</v>
      </c>
      <c r="L813" s="5">
        <f t="shared" si="38"/>
        <v>4.1021844795798651E-2</v>
      </c>
    </row>
    <row r="814" spans="1:12" x14ac:dyDescent="0.25">
      <c r="A814" t="s">
        <v>832</v>
      </c>
      <c r="B814" t="s">
        <v>26</v>
      </c>
      <c r="C814" s="10">
        <v>45985</v>
      </c>
      <c r="D814" s="18" t="str">
        <f t="shared" si="36"/>
        <v>November</v>
      </c>
      <c r="E814" s="11" t="str">
        <f t="shared" si="37"/>
        <v>2025</v>
      </c>
      <c r="F814" t="s">
        <v>18</v>
      </c>
      <c r="G814" s="2">
        <v>18602</v>
      </c>
      <c r="H814" s="2">
        <v>7631</v>
      </c>
      <c r="I814" s="2">
        <v>410</v>
      </c>
      <c r="J814" s="2">
        <v>99</v>
      </c>
      <c r="K814" s="2">
        <v>44</v>
      </c>
      <c r="L814" s="5">
        <f t="shared" si="38"/>
        <v>7.2467566505045211E-2</v>
      </c>
    </row>
    <row r="815" spans="1:12" x14ac:dyDescent="0.25">
      <c r="A815" t="s">
        <v>833</v>
      </c>
      <c r="B815" t="s">
        <v>11</v>
      </c>
      <c r="C815" s="10">
        <v>45694</v>
      </c>
      <c r="D815" s="18" t="str">
        <f t="shared" si="36"/>
        <v>February</v>
      </c>
      <c r="E815" s="11" t="str">
        <f t="shared" si="37"/>
        <v>2025</v>
      </c>
      <c r="F815" t="s">
        <v>18</v>
      </c>
      <c r="G815" s="2">
        <v>27727</v>
      </c>
      <c r="H815" s="2">
        <v>18430</v>
      </c>
      <c r="I815" s="2">
        <v>250</v>
      </c>
      <c r="J815" s="2">
        <v>141</v>
      </c>
      <c r="K815" s="2">
        <v>192</v>
      </c>
      <c r="L815" s="5">
        <f t="shared" si="38"/>
        <v>3.1633206728160605E-2</v>
      </c>
    </row>
    <row r="816" spans="1:12" x14ac:dyDescent="0.25">
      <c r="A816" t="s">
        <v>834</v>
      </c>
      <c r="B816" t="s">
        <v>14</v>
      </c>
      <c r="C816" s="10">
        <v>45913</v>
      </c>
      <c r="D816" s="18" t="str">
        <f t="shared" si="36"/>
        <v>September</v>
      </c>
      <c r="E816" s="11" t="str">
        <f t="shared" si="37"/>
        <v>2025</v>
      </c>
      <c r="F816" t="s">
        <v>18</v>
      </c>
      <c r="G816" s="2">
        <v>15247</v>
      </c>
      <c r="H816" s="2">
        <v>8056</v>
      </c>
      <c r="I816" s="2">
        <v>540</v>
      </c>
      <c r="J816" s="2">
        <v>26</v>
      </c>
      <c r="K816" s="2">
        <v>48</v>
      </c>
      <c r="L816" s="5">
        <f t="shared" si="38"/>
        <v>7.6216484607745785E-2</v>
      </c>
    </row>
    <row r="817" spans="1:12" x14ac:dyDescent="0.25">
      <c r="A817" t="s">
        <v>835</v>
      </c>
      <c r="B817" t="s">
        <v>20</v>
      </c>
      <c r="C817" s="10">
        <v>45894</v>
      </c>
      <c r="D817" s="18" t="str">
        <f t="shared" si="36"/>
        <v>August</v>
      </c>
      <c r="E817" s="11" t="str">
        <f t="shared" si="37"/>
        <v>2025</v>
      </c>
      <c r="F817" t="s">
        <v>18</v>
      </c>
      <c r="G817" s="2">
        <v>89894</v>
      </c>
      <c r="H817" s="2">
        <v>59291</v>
      </c>
      <c r="I817" s="2">
        <v>1939</v>
      </c>
      <c r="J817" s="2">
        <v>1048</v>
      </c>
      <c r="K817" s="2">
        <v>2205</v>
      </c>
      <c r="L817" s="5">
        <f t="shared" si="38"/>
        <v>8.7568096338398752E-2</v>
      </c>
    </row>
    <row r="818" spans="1:12" x14ac:dyDescent="0.25">
      <c r="A818" t="s">
        <v>836</v>
      </c>
      <c r="B818" t="s">
        <v>14</v>
      </c>
      <c r="C818" s="10">
        <v>45875</v>
      </c>
      <c r="D818" s="18" t="str">
        <f t="shared" si="36"/>
        <v>August</v>
      </c>
      <c r="E818" s="11" t="str">
        <f t="shared" si="37"/>
        <v>2025</v>
      </c>
      <c r="F818" t="s">
        <v>15</v>
      </c>
      <c r="G818" s="2">
        <v>27153</v>
      </c>
      <c r="H818" s="2">
        <v>19875</v>
      </c>
      <c r="I818" s="2">
        <v>1530</v>
      </c>
      <c r="J818" s="2">
        <v>162</v>
      </c>
      <c r="K818" s="2">
        <v>74</v>
      </c>
      <c r="L818" s="5">
        <f t="shared" si="38"/>
        <v>8.8855345911949685E-2</v>
      </c>
    </row>
    <row r="819" spans="1:12" x14ac:dyDescent="0.25">
      <c r="A819" t="s">
        <v>837</v>
      </c>
      <c r="B819" t="s">
        <v>26</v>
      </c>
      <c r="C819" s="10">
        <v>45318</v>
      </c>
      <c r="D819" s="18" t="str">
        <f t="shared" si="36"/>
        <v>January</v>
      </c>
      <c r="E819" s="11" t="str">
        <f t="shared" si="37"/>
        <v>2024</v>
      </c>
      <c r="F819" t="s">
        <v>18</v>
      </c>
      <c r="G819" s="2">
        <v>4784</v>
      </c>
      <c r="H819" s="2">
        <v>2037</v>
      </c>
      <c r="I819" s="2">
        <v>35</v>
      </c>
      <c r="J819" s="2">
        <v>15</v>
      </c>
      <c r="K819" s="2">
        <v>25</v>
      </c>
      <c r="L819" s="5">
        <f t="shared" si="38"/>
        <v>3.6818851251840944E-2</v>
      </c>
    </row>
    <row r="820" spans="1:12" x14ac:dyDescent="0.25">
      <c r="A820" t="s">
        <v>838</v>
      </c>
      <c r="B820" t="s">
        <v>17</v>
      </c>
      <c r="C820" s="10">
        <v>45969</v>
      </c>
      <c r="D820" s="18" t="str">
        <f t="shared" si="36"/>
        <v>November</v>
      </c>
      <c r="E820" s="11" t="str">
        <f t="shared" si="37"/>
        <v>2025</v>
      </c>
      <c r="F820" t="s">
        <v>18</v>
      </c>
      <c r="G820" s="2">
        <v>13034</v>
      </c>
      <c r="H820" s="2">
        <v>9588</v>
      </c>
      <c r="I820" s="2">
        <v>212</v>
      </c>
      <c r="J820" s="2">
        <v>20</v>
      </c>
      <c r="K820" s="2">
        <v>99</v>
      </c>
      <c r="L820" s="5">
        <f t="shared" si="38"/>
        <v>3.4522319566124324E-2</v>
      </c>
    </row>
    <row r="821" spans="1:12" x14ac:dyDescent="0.25">
      <c r="A821" t="s">
        <v>839</v>
      </c>
      <c r="B821" t="s">
        <v>17</v>
      </c>
      <c r="C821" s="10">
        <v>45795</v>
      </c>
      <c r="D821" s="18" t="str">
        <f t="shared" si="36"/>
        <v>May</v>
      </c>
      <c r="E821" s="11" t="str">
        <f t="shared" si="37"/>
        <v>2025</v>
      </c>
      <c r="F821" t="s">
        <v>12</v>
      </c>
      <c r="G821" s="2">
        <v>18057</v>
      </c>
      <c r="H821" s="2">
        <v>13827</v>
      </c>
      <c r="I821" s="2">
        <v>299</v>
      </c>
      <c r="J821" s="2">
        <v>64</v>
      </c>
      <c r="K821" s="2">
        <v>151</v>
      </c>
      <c r="L821" s="5">
        <f t="shared" si="38"/>
        <v>3.7173645765531206E-2</v>
      </c>
    </row>
    <row r="822" spans="1:12" x14ac:dyDescent="0.25">
      <c r="A822" t="s">
        <v>840</v>
      </c>
      <c r="B822" t="s">
        <v>20</v>
      </c>
      <c r="C822" s="10">
        <v>45562</v>
      </c>
      <c r="D822" s="18" t="str">
        <f t="shared" si="36"/>
        <v>September</v>
      </c>
      <c r="E822" s="11" t="str">
        <f t="shared" si="37"/>
        <v>2024</v>
      </c>
      <c r="F822" t="s">
        <v>24</v>
      </c>
      <c r="G822" s="2">
        <v>179719</v>
      </c>
      <c r="H822" s="2">
        <v>70601</v>
      </c>
      <c r="I822" s="2">
        <v>4549</v>
      </c>
      <c r="J822" s="2">
        <v>1643</v>
      </c>
      <c r="K822" s="2">
        <v>975</v>
      </c>
      <c r="L822" s="5">
        <f t="shared" si="38"/>
        <v>0.1015141428591663</v>
      </c>
    </row>
    <row r="823" spans="1:12" x14ac:dyDescent="0.25">
      <c r="A823" t="s">
        <v>841</v>
      </c>
      <c r="B823" t="s">
        <v>17</v>
      </c>
      <c r="C823" s="10">
        <v>46010</v>
      </c>
      <c r="D823" s="18" t="str">
        <f t="shared" si="36"/>
        <v>December</v>
      </c>
      <c r="E823" s="11" t="str">
        <f t="shared" si="37"/>
        <v>2025</v>
      </c>
      <c r="F823" t="s">
        <v>12</v>
      </c>
      <c r="G823" s="2">
        <v>23924</v>
      </c>
      <c r="H823" s="2">
        <v>11970</v>
      </c>
      <c r="I823" s="2">
        <v>195</v>
      </c>
      <c r="J823" s="2">
        <v>81</v>
      </c>
      <c r="K823" s="2">
        <v>148</v>
      </c>
      <c r="L823" s="5">
        <f t="shared" si="38"/>
        <v>3.5421888053467E-2</v>
      </c>
    </row>
    <row r="824" spans="1:12" x14ac:dyDescent="0.25">
      <c r="A824" t="s">
        <v>842</v>
      </c>
      <c r="B824" t="s">
        <v>20</v>
      </c>
      <c r="C824" s="10">
        <v>45490</v>
      </c>
      <c r="D824" s="18" t="str">
        <f t="shared" si="36"/>
        <v>July</v>
      </c>
      <c r="E824" s="11" t="str">
        <f t="shared" si="37"/>
        <v>2024</v>
      </c>
      <c r="F824" t="s">
        <v>24</v>
      </c>
      <c r="G824" s="2">
        <v>300492</v>
      </c>
      <c r="H824" s="2">
        <v>142306</v>
      </c>
      <c r="I824" s="2">
        <v>10847</v>
      </c>
      <c r="J824" s="2">
        <v>2910</v>
      </c>
      <c r="K824" s="2">
        <v>4021</v>
      </c>
      <c r="L824" s="5">
        <f t="shared" si="38"/>
        <v>0.12492797211642517</v>
      </c>
    </row>
    <row r="825" spans="1:12" x14ac:dyDescent="0.25">
      <c r="A825" t="s">
        <v>843</v>
      </c>
      <c r="B825" t="s">
        <v>14</v>
      </c>
      <c r="C825" s="10">
        <v>45630</v>
      </c>
      <c r="D825" s="18" t="str">
        <f t="shared" si="36"/>
        <v>December</v>
      </c>
      <c r="E825" s="11" t="str">
        <f t="shared" si="37"/>
        <v>2024</v>
      </c>
      <c r="F825" t="s">
        <v>15</v>
      </c>
      <c r="G825" s="2">
        <v>28585</v>
      </c>
      <c r="H825" s="2">
        <v>11891</v>
      </c>
      <c r="I825" s="2">
        <v>338</v>
      </c>
      <c r="J825" s="2">
        <v>121</v>
      </c>
      <c r="K825" s="2">
        <v>92</v>
      </c>
      <c r="L825" s="5">
        <f t="shared" si="38"/>
        <v>4.6337566226557901E-2</v>
      </c>
    </row>
    <row r="826" spans="1:12" x14ac:dyDescent="0.25">
      <c r="A826" t="s">
        <v>844</v>
      </c>
      <c r="B826" t="s">
        <v>17</v>
      </c>
      <c r="C826" s="10">
        <v>45941</v>
      </c>
      <c r="D826" s="18" t="str">
        <f t="shared" si="36"/>
        <v>October</v>
      </c>
      <c r="E826" s="11" t="str">
        <f t="shared" si="37"/>
        <v>2025</v>
      </c>
      <c r="F826" t="s">
        <v>18</v>
      </c>
      <c r="G826" s="2">
        <v>17663</v>
      </c>
      <c r="H826" s="2">
        <v>10699</v>
      </c>
      <c r="I826" s="2">
        <v>273</v>
      </c>
      <c r="J826" s="2">
        <v>17</v>
      </c>
      <c r="K826" s="2">
        <v>27</v>
      </c>
      <c r="L826" s="5">
        <f t="shared" si="38"/>
        <v>2.9628937283858306E-2</v>
      </c>
    </row>
    <row r="827" spans="1:12" x14ac:dyDescent="0.25">
      <c r="A827" t="s">
        <v>845</v>
      </c>
      <c r="B827" t="s">
        <v>17</v>
      </c>
      <c r="C827" s="10">
        <v>45522</v>
      </c>
      <c r="D827" s="18" t="str">
        <f t="shared" si="36"/>
        <v>August</v>
      </c>
      <c r="E827" s="11" t="str">
        <f t="shared" si="37"/>
        <v>2024</v>
      </c>
      <c r="F827" t="s">
        <v>12</v>
      </c>
      <c r="G827" s="2">
        <v>11481</v>
      </c>
      <c r="H827" s="2">
        <v>7128</v>
      </c>
      <c r="I827" s="2">
        <v>171</v>
      </c>
      <c r="J827" s="2">
        <v>35</v>
      </c>
      <c r="K827" s="2">
        <v>27</v>
      </c>
      <c r="L827" s="5">
        <f t="shared" si="38"/>
        <v>3.2687991021324352E-2</v>
      </c>
    </row>
    <row r="828" spans="1:12" x14ac:dyDescent="0.25">
      <c r="A828" t="s">
        <v>846</v>
      </c>
      <c r="B828" t="s">
        <v>14</v>
      </c>
      <c r="C828" s="10">
        <v>45572</v>
      </c>
      <c r="D828" s="18" t="str">
        <f t="shared" si="36"/>
        <v>October</v>
      </c>
      <c r="E828" s="11" t="str">
        <f t="shared" si="37"/>
        <v>2024</v>
      </c>
      <c r="F828" t="s">
        <v>24</v>
      </c>
      <c r="G828" s="2">
        <v>30075</v>
      </c>
      <c r="H828" s="2">
        <v>20915</v>
      </c>
      <c r="I828" s="2">
        <v>1601</v>
      </c>
      <c r="J828" s="2">
        <v>228</v>
      </c>
      <c r="K828" s="2">
        <v>62</v>
      </c>
      <c r="L828" s="5">
        <f t="shared" si="38"/>
        <v>9.0413578771216835E-2</v>
      </c>
    </row>
    <row r="829" spans="1:12" x14ac:dyDescent="0.25">
      <c r="A829" t="s">
        <v>847</v>
      </c>
      <c r="B829" t="s">
        <v>11</v>
      </c>
      <c r="C829" s="10">
        <v>45543</v>
      </c>
      <c r="D829" s="18" t="str">
        <f t="shared" si="36"/>
        <v>September</v>
      </c>
      <c r="E829" s="11" t="str">
        <f t="shared" si="37"/>
        <v>2024</v>
      </c>
      <c r="F829" t="s">
        <v>32</v>
      </c>
      <c r="G829" s="2">
        <v>43087</v>
      </c>
      <c r="H829" s="2">
        <v>29240</v>
      </c>
      <c r="I829" s="2">
        <v>851</v>
      </c>
      <c r="J829" s="2">
        <v>333</v>
      </c>
      <c r="K829" s="2">
        <v>640</v>
      </c>
      <c r="L829" s="5">
        <f t="shared" si="38"/>
        <v>6.2380300957592338E-2</v>
      </c>
    </row>
    <row r="830" spans="1:12" x14ac:dyDescent="0.25">
      <c r="A830" t="s">
        <v>848</v>
      </c>
      <c r="B830" t="s">
        <v>17</v>
      </c>
      <c r="C830" s="10">
        <v>45923</v>
      </c>
      <c r="D830" s="18" t="str">
        <f t="shared" si="36"/>
        <v>September</v>
      </c>
      <c r="E830" s="11" t="str">
        <f t="shared" si="37"/>
        <v>2025</v>
      </c>
      <c r="F830" t="s">
        <v>18</v>
      </c>
      <c r="G830" s="2">
        <v>14244</v>
      </c>
      <c r="H830" s="2">
        <v>12768</v>
      </c>
      <c r="I830" s="2">
        <v>231</v>
      </c>
      <c r="J830" s="2">
        <v>47</v>
      </c>
      <c r="K830" s="2">
        <v>94</v>
      </c>
      <c r="L830" s="5">
        <f t="shared" si="38"/>
        <v>2.913533834586466E-2</v>
      </c>
    </row>
    <row r="831" spans="1:12" x14ac:dyDescent="0.25">
      <c r="A831" t="s">
        <v>849</v>
      </c>
      <c r="B831" t="s">
        <v>26</v>
      </c>
      <c r="C831" s="10">
        <v>45618</v>
      </c>
      <c r="D831" s="18" t="str">
        <f t="shared" si="36"/>
        <v>November</v>
      </c>
      <c r="E831" s="11" t="str">
        <f t="shared" si="37"/>
        <v>2024</v>
      </c>
      <c r="F831" t="s">
        <v>12</v>
      </c>
      <c r="G831" s="2">
        <v>18511</v>
      </c>
      <c r="H831" s="2">
        <v>13972</v>
      </c>
      <c r="I831" s="2">
        <v>643</v>
      </c>
      <c r="J831" s="2">
        <v>332</v>
      </c>
      <c r="K831" s="2">
        <v>103</v>
      </c>
      <c r="L831" s="5">
        <f t="shared" si="38"/>
        <v>7.7154308617234463E-2</v>
      </c>
    </row>
    <row r="832" spans="1:12" x14ac:dyDescent="0.25">
      <c r="A832" t="s">
        <v>850</v>
      </c>
      <c r="B832" t="s">
        <v>17</v>
      </c>
      <c r="C832" s="10">
        <v>45759</v>
      </c>
      <c r="D832" s="18" t="str">
        <f t="shared" si="36"/>
        <v>April</v>
      </c>
      <c r="E832" s="11" t="str">
        <f t="shared" si="37"/>
        <v>2025</v>
      </c>
      <c r="F832" t="s">
        <v>12</v>
      </c>
      <c r="G832" s="2">
        <v>12617</v>
      </c>
      <c r="H832" s="2">
        <v>9372</v>
      </c>
      <c r="I832" s="2">
        <v>155</v>
      </c>
      <c r="J832" s="2">
        <v>60</v>
      </c>
      <c r="K832" s="2">
        <v>36</v>
      </c>
      <c r="L832" s="5">
        <f t="shared" si="38"/>
        <v>2.6781903542466921E-2</v>
      </c>
    </row>
    <row r="833" spans="1:12" x14ac:dyDescent="0.25">
      <c r="A833" t="s">
        <v>851</v>
      </c>
      <c r="B833" t="s">
        <v>20</v>
      </c>
      <c r="C833" s="10">
        <v>45436</v>
      </c>
      <c r="D833" s="18" t="str">
        <f t="shared" si="36"/>
        <v>May</v>
      </c>
      <c r="E833" s="11" t="str">
        <f t="shared" si="37"/>
        <v>2024</v>
      </c>
      <c r="F833" t="s">
        <v>18</v>
      </c>
      <c r="G833" s="2">
        <v>152232</v>
      </c>
      <c r="H833" s="2">
        <v>90649</v>
      </c>
      <c r="I833" s="2">
        <v>5749</v>
      </c>
      <c r="J833" s="2">
        <v>496</v>
      </c>
      <c r="K833" s="2">
        <v>2756</v>
      </c>
      <c r="L833" s="5">
        <f t="shared" si="38"/>
        <v>9.929508323312998E-2</v>
      </c>
    </row>
    <row r="834" spans="1:12" x14ac:dyDescent="0.25">
      <c r="A834" t="s">
        <v>852</v>
      </c>
      <c r="B834" t="s">
        <v>11</v>
      </c>
      <c r="C834" s="10">
        <v>45501</v>
      </c>
      <c r="D834" s="18" t="str">
        <f t="shared" si="36"/>
        <v>July</v>
      </c>
      <c r="E834" s="11" t="str">
        <f t="shared" si="37"/>
        <v>2024</v>
      </c>
      <c r="F834" t="s">
        <v>32</v>
      </c>
      <c r="G834" s="2">
        <v>8589</v>
      </c>
      <c r="H834" s="2">
        <v>3060</v>
      </c>
      <c r="I834" s="2">
        <v>83</v>
      </c>
      <c r="J834" s="2">
        <v>51</v>
      </c>
      <c r="K834" s="2">
        <v>49</v>
      </c>
      <c r="L834" s="5">
        <f t="shared" si="38"/>
        <v>5.9803921568627454E-2</v>
      </c>
    </row>
    <row r="835" spans="1:12" x14ac:dyDescent="0.25">
      <c r="A835" t="s">
        <v>853</v>
      </c>
      <c r="B835" t="s">
        <v>11</v>
      </c>
      <c r="C835" s="10">
        <v>45698</v>
      </c>
      <c r="D835" s="18" t="str">
        <f t="shared" ref="D835:D898" si="39">TEXT($C835,"MMMM")</f>
        <v>February</v>
      </c>
      <c r="E835" s="11" t="str">
        <f t="shared" ref="E835:E898" si="40">TEXT(C835,"yyyy")</f>
        <v>2025</v>
      </c>
      <c r="F835" t="s">
        <v>32</v>
      </c>
      <c r="G835" s="2">
        <v>6956</v>
      </c>
      <c r="H835" s="2">
        <v>4036</v>
      </c>
      <c r="I835" s="2">
        <v>176</v>
      </c>
      <c r="J835" s="2">
        <v>69</v>
      </c>
      <c r="K835" s="2">
        <v>55</v>
      </c>
      <c r="L835" s="5">
        <f t="shared" ref="L835:L898" si="41">SUM(I835:K835)/H835</f>
        <v>7.4331020812685833E-2</v>
      </c>
    </row>
    <row r="836" spans="1:12" x14ac:dyDescent="0.25">
      <c r="A836" t="s">
        <v>854</v>
      </c>
      <c r="B836" t="s">
        <v>11</v>
      </c>
      <c r="C836" s="10">
        <v>45747</v>
      </c>
      <c r="D836" s="18" t="str">
        <f t="shared" si="39"/>
        <v>March</v>
      </c>
      <c r="E836" s="11" t="str">
        <f t="shared" si="40"/>
        <v>2025</v>
      </c>
      <c r="F836" t="s">
        <v>15</v>
      </c>
      <c r="G836" s="2">
        <v>16675</v>
      </c>
      <c r="H836" s="2">
        <v>5590</v>
      </c>
      <c r="I836" s="2">
        <v>138</v>
      </c>
      <c r="J836" s="2">
        <v>62</v>
      </c>
      <c r="K836" s="2">
        <v>118</v>
      </c>
      <c r="L836" s="5">
        <f t="shared" si="41"/>
        <v>5.6887298747763861E-2</v>
      </c>
    </row>
    <row r="837" spans="1:12" x14ac:dyDescent="0.25">
      <c r="A837" t="s">
        <v>855</v>
      </c>
      <c r="B837" t="s">
        <v>26</v>
      </c>
      <c r="C837" s="10">
        <v>45414</v>
      </c>
      <c r="D837" s="18" t="str">
        <f t="shared" si="39"/>
        <v>May</v>
      </c>
      <c r="E837" s="11" t="str">
        <f t="shared" si="40"/>
        <v>2024</v>
      </c>
      <c r="F837" t="s">
        <v>15</v>
      </c>
      <c r="G837" s="2">
        <v>2809</v>
      </c>
      <c r="H837" s="2">
        <v>1265</v>
      </c>
      <c r="I837" s="2">
        <v>28</v>
      </c>
      <c r="J837" s="2">
        <v>22</v>
      </c>
      <c r="K837" s="2">
        <v>17</v>
      </c>
      <c r="L837" s="5">
        <f t="shared" si="41"/>
        <v>5.2964426877470355E-2</v>
      </c>
    </row>
    <row r="838" spans="1:12" x14ac:dyDescent="0.25">
      <c r="A838" t="s">
        <v>856</v>
      </c>
      <c r="B838" t="s">
        <v>14</v>
      </c>
      <c r="C838" s="10">
        <v>45638</v>
      </c>
      <c r="D838" s="18" t="str">
        <f t="shared" si="39"/>
        <v>December</v>
      </c>
      <c r="E838" s="11" t="str">
        <f t="shared" si="40"/>
        <v>2024</v>
      </c>
      <c r="F838" t="s">
        <v>15</v>
      </c>
      <c r="G838" s="2">
        <v>11976</v>
      </c>
      <c r="H838" s="2">
        <v>7595</v>
      </c>
      <c r="I838" s="2">
        <v>348</v>
      </c>
      <c r="J838" s="2">
        <v>40</v>
      </c>
      <c r="K838" s="2">
        <v>9</v>
      </c>
      <c r="L838" s="5">
        <f t="shared" si="41"/>
        <v>5.2271231073074388E-2</v>
      </c>
    </row>
    <row r="839" spans="1:12" x14ac:dyDescent="0.25">
      <c r="A839" t="s">
        <v>857</v>
      </c>
      <c r="B839" t="s">
        <v>11</v>
      </c>
      <c r="C839" s="10">
        <v>45630</v>
      </c>
      <c r="D839" s="18" t="str">
        <f t="shared" si="39"/>
        <v>December</v>
      </c>
      <c r="E839" s="11" t="str">
        <f t="shared" si="40"/>
        <v>2024</v>
      </c>
      <c r="F839" t="s">
        <v>32</v>
      </c>
      <c r="G839" s="2">
        <v>50782</v>
      </c>
      <c r="H839" s="2">
        <v>24146</v>
      </c>
      <c r="I839" s="2">
        <v>541</v>
      </c>
      <c r="J839" s="2">
        <v>336</v>
      </c>
      <c r="K839" s="2">
        <v>541</v>
      </c>
      <c r="L839" s="5">
        <f t="shared" si="41"/>
        <v>5.872608299511306E-2</v>
      </c>
    </row>
    <row r="840" spans="1:12" x14ac:dyDescent="0.25">
      <c r="A840" t="s">
        <v>858</v>
      </c>
      <c r="B840" t="s">
        <v>14</v>
      </c>
      <c r="C840" s="10">
        <v>45938</v>
      </c>
      <c r="D840" s="18" t="str">
        <f t="shared" si="39"/>
        <v>October</v>
      </c>
      <c r="E840" s="11" t="str">
        <f t="shared" si="40"/>
        <v>2025</v>
      </c>
      <c r="F840" t="s">
        <v>18</v>
      </c>
      <c r="G840" s="2">
        <v>83900</v>
      </c>
      <c r="H840" s="2">
        <v>49290</v>
      </c>
      <c r="I840" s="2">
        <v>3027</v>
      </c>
      <c r="J840" s="2">
        <v>520</v>
      </c>
      <c r="K840" s="2">
        <v>121</v>
      </c>
      <c r="L840" s="5">
        <f t="shared" si="41"/>
        <v>7.4416717386893899E-2</v>
      </c>
    </row>
    <row r="841" spans="1:12" x14ac:dyDescent="0.25">
      <c r="A841" t="s">
        <v>859</v>
      </c>
      <c r="B841" t="s">
        <v>20</v>
      </c>
      <c r="C841" s="10">
        <v>45436</v>
      </c>
      <c r="D841" s="18" t="str">
        <f t="shared" si="39"/>
        <v>May</v>
      </c>
      <c r="E841" s="11" t="str">
        <f t="shared" si="40"/>
        <v>2024</v>
      </c>
      <c r="F841" t="s">
        <v>24</v>
      </c>
      <c r="G841" s="2">
        <v>206094</v>
      </c>
      <c r="H841" s="2">
        <v>92209</v>
      </c>
      <c r="I841" s="2">
        <v>9894</v>
      </c>
      <c r="J841" s="2">
        <v>1277</v>
      </c>
      <c r="K841" s="2">
        <v>1266</v>
      </c>
      <c r="L841" s="5">
        <f t="shared" si="41"/>
        <v>0.13487837412833889</v>
      </c>
    </row>
    <row r="842" spans="1:12" x14ac:dyDescent="0.25">
      <c r="A842" t="s">
        <v>860</v>
      </c>
      <c r="B842" t="s">
        <v>14</v>
      </c>
      <c r="C842" s="10">
        <v>46003</v>
      </c>
      <c r="D842" s="18" t="str">
        <f t="shared" si="39"/>
        <v>December</v>
      </c>
      <c r="E842" s="11" t="str">
        <f t="shared" si="40"/>
        <v>2025</v>
      </c>
      <c r="F842" t="s">
        <v>24</v>
      </c>
      <c r="G842" s="2">
        <v>76099</v>
      </c>
      <c r="H842" s="2">
        <v>59299</v>
      </c>
      <c r="I842" s="2">
        <v>1282</v>
      </c>
      <c r="J842" s="2">
        <v>597</v>
      </c>
      <c r="K842" s="2">
        <v>181</v>
      </c>
      <c r="L842" s="5">
        <f t="shared" si="41"/>
        <v>3.4739203021973392E-2</v>
      </c>
    </row>
    <row r="843" spans="1:12" x14ac:dyDescent="0.25">
      <c r="A843" t="s">
        <v>861</v>
      </c>
      <c r="B843" t="s">
        <v>14</v>
      </c>
      <c r="C843" s="10">
        <v>45575</v>
      </c>
      <c r="D843" s="18" t="str">
        <f t="shared" si="39"/>
        <v>October</v>
      </c>
      <c r="E843" s="11" t="str">
        <f t="shared" si="40"/>
        <v>2024</v>
      </c>
      <c r="F843" t="s">
        <v>24</v>
      </c>
      <c r="G843" s="2">
        <v>58336</v>
      </c>
      <c r="H843" s="2">
        <v>28891</v>
      </c>
      <c r="I843" s="2">
        <v>1609</v>
      </c>
      <c r="J843" s="2">
        <v>342</v>
      </c>
      <c r="K843" s="2">
        <v>138</v>
      </c>
      <c r="L843" s="5">
        <f t="shared" si="41"/>
        <v>7.2306254542937251E-2</v>
      </c>
    </row>
    <row r="844" spans="1:12" x14ac:dyDescent="0.25">
      <c r="A844" t="s">
        <v>862</v>
      </c>
      <c r="B844" t="s">
        <v>11</v>
      </c>
      <c r="C844" s="10">
        <v>45294</v>
      </c>
      <c r="D844" s="18" t="str">
        <f t="shared" si="39"/>
        <v>January</v>
      </c>
      <c r="E844" s="11" t="str">
        <f t="shared" si="40"/>
        <v>2024</v>
      </c>
      <c r="F844" t="s">
        <v>12</v>
      </c>
      <c r="G844" s="2">
        <v>10419</v>
      </c>
      <c r="H844" s="2">
        <v>5268</v>
      </c>
      <c r="I844" s="2">
        <v>95</v>
      </c>
      <c r="J844" s="2">
        <v>19</v>
      </c>
      <c r="K844" s="2">
        <v>98</v>
      </c>
      <c r="L844" s="5">
        <f t="shared" si="41"/>
        <v>4.0242976461655276E-2</v>
      </c>
    </row>
    <row r="845" spans="1:12" x14ac:dyDescent="0.25">
      <c r="A845" t="s">
        <v>863</v>
      </c>
      <c r="B845" t="s">
        <v>20</v>
      </c>
      <c r="C845" s="10">
        <v>45525</v>
      </c>
      <c r="D845" s="18" t="str">
        <f t="shared" si="39"/>
        <v>August</v>
      </c>
      <c r="E845" s="11" t="str">
        <f t="shared" si="40"/>
        <v>2024</v>
      </c>
      <c r="F845" t="s">
        <v>18</v>
      </c>
      <c r="G845" s="2">
        <v>397798</v>
      </c>
      <c r="H845" s="2">
        <v>251973</v>
      </c>
      <c r="I845" s="2">
        <v>21279</v>
      </c>
      <c r="J845" s="2">
        <v>7212</v>
      </c>
      <c r="K845" s="2">
        <v>6116</v>
      </c>
      <c r="L845" s="5">
        <f t="shared" si="41"/>
        <v>0.13734408051656327</v>
      </c>
    </row>
    <row r="846" spans="1:12" x14ac:dyDescent="0.25">
      <c r="A846" t="s">
        <v>864</v>
      </c>
      <c r="B846" t="s">
        <v>20</v>
      </c>
      <c r="C846" s="10">
        <v>45774</v>
      </c>
      <c r="D846" s="18" t="str">
        <f t="shared" si="39"/>
        <v>April</v>
      </c>
      <c r="E846" s="11" t="str">
        <f t="shared" si="40"/>
        <v>2025</v>
      </c>
      <c r="F846" t="s">
        <v>24</v>
      </c>
      <c r="G846" s="2">
        <v>81633</v>
      </c>
      <c r="H846" s="2">
        <v>42498</v>
      </c>
      <c r="I846" s="2">
        <v>2362</v>
      </c>
      <c r="J846" s="2">
        <v>379</v>
      </c>
      <c r="K846" s="2">
        <v>842</v>
      </c>
      <c r="L846" s="5">
        <f t="shared" si="41"/>
        <v>8.4309849875288251E-2</v>
      </c>
    </row>
    <row r="847" spans="1:12" x14ac:dyDescent="0.25">
      <c r="A847" t="s">
        <v>865</v>
      </c>
      <c r="B847" t="s">
        <v>14</v>
      </c>
      <c r="C847" s="10">
        <v>45787</v>
      </c>
      <c r="D847" s="18" t="str">
        <f t="shared" si="39"/>
        <v>May</v>
      </c>
      <c r="E847" s="11" t="str">
        <f t="shared" si="40"/>
        <v>2025</v>
      </c>
      <c r="F847" t="s">
        <v>18</v>
      </c>
      <c r="G847" s="2">
        <v>114853</v>
      </c>
      <c r="H847" s="2">
        <v>90322</v>
      </c>
      <c r="I847" s="2">
        <v>7036</v>
      </c>
      <c r="J847" s="2">
        <v>1008</v>
      </c>
      <c r="K847" s="2">
        <v>460</v>
      </c>
      <c r="L847" s="5">
        <f t="shared" si="41"/>
        <v>9.4152033834503226E-2</v>
      </c>
    </row>
    <row r="848" spans="1:12" x14ac:dyDescent="0.25">
      <c r="A848" t="s">
        <v>866</v>
      </c>
      <c r="B848" t="s">
        <v>20</v>
      </c>
      <c r="C848" s="10">
        <v>45668</v>
      </c>
      <c r="D848" s="18" t="str">
        <f t="shared" si="39"/>
        <v>January</v>
      </c>
      <c r="E848" s="11" t="str">
        <f t="shared" si="40"/>
        <v>2025</v>
      </c>
      <c r="F848" t="s">
        <v>24</v>
      </c>
      <c r="G848" s="2">
        <v>101559</v>
      </c>
      <c r="H848" s="2">
        <v>37011</v>
      </c>
      <c r="I848" s="2">
        <v>1403</v>
      </c>
      <c r="J848" s="2">
        <v>866</v>
      </c>
      <c r="K848" s="2">
        <v>1702</v>
      </c>
      <c r="L848" s="5">
        <f t="shared" si="41"/>
        <v>0.10729242657588285</v>
      </c>
    </row>
    <row r="849" spans="1:12" x14ac:dyDescent="0.25">
      <c r="A849" t="s">
        <v>867</v>
      </c>
      <c r="B849" t="s">
        <v>26</v>
      </c>
      <c r="C849" s="10">
        <v>45531</v>
      </c>
      <c r="D849" s="18" t="str">
        <f t="shared" si="39"/>
        <v>August</v>
      </c>
      <c r="E849" s="11" t="str">
        <f t="shared" si="40"/>
        <v>2024</v>
      </c>
      <c r="F849" t="s">
        <v>18</v>
      </c>
      <c r="G849" s="2">
        <v>52966</v>
      </c>
      <c r="H849" s="2">
        <v>33208</v>
      </c>
      <c r="I849" s="2">
        <v>1342</v>
      </c>
      <c r="J849" s="2">
        <v>314</v>
      </c>
      <c r="K849" s="2">
        <v>185</v>
      </c>
      <c r="L849" s="5">
        <f t="shared" si="41"/>
        <v>5.5438448566610454E-2</v>
      </c>
    </row>
    <row r="850" spans="1:12" x14ac:dyDescent="0.25">
      <c r="A850" t="s">
        <v>868</v>
      </c>
      <c r="B850" t="s">
        <v>11</v>
      </c>
      <c r="C850" s="10">
        <v>45537</v>
      </c>
      <c r="D850" s="18" t="str">
        <f t="shared" si="39"/>
        <v>September</v>
      </c>
      <c r="E850" s="11" t="str">
        <f t="shared" si="40"/>
        <v>2024</v>
      </c>
      <c r="F850" t="s">
        <v>32</v>
      </c>
      <c r="G850" s="2">
        <v>43373</v>
      </c>
      <c r="H850" s="2">
        <v>27936</v>
      </c>
      <c r="I850" s="2">
        <v>345</v>
      </c>
      <c r="J850" s="2">
        <v>509</v>
      </c>
      <c r="K850" s="2">
        <v>623</v>
      </c>
      <c r="L850" s="5">
        <f t="shared" si="41"/>
        <v>5.2870847651775486E-2</v>
      </c>
    </row>
    <row r="851" spans="1:12" x14ac:dyDescent="0.25">
      <c r="A851" t="s">
        <v>869</v>
      </c>
      <c r="B851" t="s">
        <v>17</v>
      </c>
      <c r="C851" s="10">
        <v>45381</v>
      </c>
      <c r="D851" s="18" t="str">
        <f t="shared" si="39"/>
        <v>March</v>
      </c>
      <c r="E851" s="11" t="str">
        <f t="shared" si="40"/>
        <v>2024</v>
      </c>
      <c r="F851" t="s">
        <v>15</v>
      </c>
      <c r="G851" s="2">
        <v>23924</v>
      </c>
      <c r="H851" s="2">
        <v>17276</v>
      </c>
      <c r="I851" s="2">
        <v>513</v>
      </c>
      <c r="J851" s="2">
        <v>82</v>
      </c>
      <c r="K851" s="2">
        <v>333</v>
      </c>
      <c r="L851" s="5">
        <f t="shared" si="41"/>
        <v>5.3716137994906231E-2</v>
      </c>
    </row>
    <row r="852" spans="1:12" x14ac:dyDescent="0.25">
      <c r="A852" t="s">
        <v>870</v>
      </c>
      <c r="B852" t="s">
        <v>20</v>
      </c>
      <c r="C852" s="10">
        <v>45496</v>
      </c>
      <c r="D852" s="18" t="str">
        <f t="shared" si="39"/>
        <v>July</v>
      </c>
      <c r="E852" s="11" t="str">
        <f t="shared" si="40"/>
        <v>2024</v>
      </c>
      <c r="F852" t="s">
        <v>18</v>
      </c>
      <c r="G852" s="2">
        <v>46459</v>
      </c>
      <c r="H852" s="2">
        <v>22156</v>
      </c>
      <c r="I852" s="2">
        <v>2313</v>
      </c>
      <c r="J852" s="2">
        <v>187</v>
      </c>
      <c r="K852" s="2">
        <v>1002</v>
      </c>
      <c r="L852" s="5">
        <f t="shared" si="41"/>
        <v>0.1580610218450984</v>
      </c>
    </row>
    <row r="853" spans="1:12" x14ac:dyDescent="0.25">
      <c r="A853" t="s">
        <v>871</v>
      </c>
      <c r="B853" t="s">
        <v>26</v>
      </c>
      <c r="C853" s="10">
        <v>45531</v>
      </c>
      <c r="D853" s="18" t="str">
        <f t="shared" si="39"/>
        <v>August</v>
      </c>
      <c r="E853" s="11" t="str">
        <f t="shared" si="40"/>
        <v>2024</v>
      </c>
      <c r="F853" t="s">
        <v>15</v>
      </c>
      <c r="G853" s="2">
        <v>14787</v>
      </c>
      <c r="H853" s="2">
        <v>9920</v>
      </c>
      <c r="I853" s="2">
        <v>185</v>
      </c>
      <c r="J853" s="2">
        <v>122</v>
      </c>
      <c r="K853" s="2">
        <v>65</v>
      </c>
      <c r="L853" s="5">
        <f t="shared" si="41"/>
        <v>3.7499999999999999E-2</v>
      </c>
    </row>
    <row r="854" spans="1:12" x14ac:dyDescent="0.25">
      <c r="A854" t="s">
        <v>872</v>
      </c>
      <c r="B854" t="s">
        <v>11</v>
      </c>
      <c r="C854" s="10">
        <v>45766</v>
      </c>
      <c r="D854" s="18" t="str">
        <f t="shared" si="39"/>
        <v>April</v>
      </c>
      <c r="E854" s="11" t="str">
        <f t="shared" si="40"/>
        <v>2025</v>
      </c>
      <c r="F854" t="s">
        <v>18</v>
      </c>
      <c r="G854" s="2">
        <v>25391</v>
      </c>
      <c r="H854" s="2">
        <v>11521</v>
      </c>
      <c r="I854" s="2">
        <v>439</v>
      </c>
      <c r="J854" s="2">
        <v>87</v>
      </c>
      <c r="K854" s="2">
        <v>300</v>
      </c>
      <c r="L854" s="5">
        <f t="shared" si="41"/>
        <v>7.1695165350230017E-2</v>
      </c>
    </row>
    <row r="855" spans="1:12" x14ac:dyDescent="0.25">
      <c r="A855" t="s">
        <v>873</v>
      </c>
      <c r="B855" t="s">
        <v>14</v>
      </c>
      <c r="C855" s="10">
        <v>45954</v>
      </c>
      <c r="D855" s="18" t="str">
        <f t="shared" si="39"/>
        <v>October</v>
      </c>
      <c r="E855" s="11" t="str">
        <f t="shared" si="40"/>
        <v>2025</v>
      </c>
      <c r="F855" t="s">
        <v>24</v>
      </c>
      <c r="G855" s="2">
        <v>4011</v>
      </c>
      <c r="H855" s="2">
        <v>3061</v>
      </c>
      <c r="I855" s="2">
        <v>210</v>
      </c>
      <c r="J855" s="2">
        <v>42</v>
      </c>
      <c r="K855" s="2">
        <v>5</v>
      </c>
      <c r="L855" s="5">
        <f t="shared" si="41"/>
        <v>8.3959490362626593E-2</v>
      </c>
    </row>
    <row r="856" spans="1:12" x14ac:dyDescent="0.25">
      <c r="A856" t="s">
        <v>874</v>
      </c>
      <c r="B856" t="s">
        <v>26</v>
      </c>
      <c r="C856" s="10">
        <v>45517</v>
      </c>
      <c r="D856" s="18" t="str">
        <f t="shared" si="39"/>
        <v>August</v>
      </c>
      <c r="E856" s="11" t="str">
        <f t="shared" si="40"/>
        <v>2024</v>
      </c>
      <c r="F856" t="s">
        <v>18</v>
      </c>
      <c r="G856" s="2">
        <v>13250</v>
      </c>
      <c r="H856" s="2">
        <v>6561</v>
      </c>
      <c r="I856" s="2">
        <v>367</v>
      </c>
      <c r="J856" s="2">
        <v>79</v>
      </c>
      <c r="K856" s="2">
        <v>52</v>
      </c>
      <c r="L856" s="5">
        <f t="shared" si="41"/>
        <v>7.5903063557384548E-2</v>
      </c>
    </row>
    <row r="857" spans="1:12" x14ac:dyDescent="0.25">
      <c r="A857" t="s">
        <v>875</v>
      </c>
      <c r="B857" t="s">
        <v>17</v>
      </c>
      <c r="C857" s="10">
        <v>45374</v>
      </c>
      <c r="D857" s="18" t="str">
        <f t="shared" si="39"/>
        <v>March</v>
      </c>
      <c r="E857" s="11" t="str">
        <f t="shared" si="40"/>
        <v>2024</v>
      </c>
      <c r="F857" t="s">
        <v>15</v>
      </c>
      <c r="G857" s="2">
        <v>22087</v>
      </c>
      <c r="H857" s="2">
        <v>14182</v>
      </c>
      <c r="I857" s="2">
        <v>183</v>
      </c>
      <c r="J857" s="2">
        <v>108</v>
      </c>
      <c r="K857" s="2">
        <v>137</v>
      </c>
      <c r="L857" s="5">
        <f t="shared" si="41"/>
        <v>3.0179100267945284E-2</v>
      </c>
    </row>
    <row r="858" spans="1:12" x14ac:dyDescent="0.25">
      <c r="A858" t="s">
        <v>876</v>
      </c>
      <c r="B858" t="s">
        <v>20</v>
      </c>
      <c r="C858" s="10">
        <v>45350</v>
      </c>
      <c r="D858" s="18" t="str">
        <f t="shared" si="39"/>
        <v>February</v>
      </c>
      <c r="E858" s="11" t="str">
        <f t="shared" si="40"/>
        <v>2024</v>
      </c>
      <c r="F858" t="s">
        <v>18</v>
      </c>
      <c r="G858" s="2">
        <v>295436</v>
      </c>
      <c r="H858" s="2">
        <v>113806</v>
      </c>
      <c r="I858" s="2">
        <v>9040</v>
      </c>
      <c r="J858" s="2">
        <v>1908</v>
      </c>
      <c r="K858" s="2">
        <v>4719</v>
      </c>
      <c r="L858" s="5">
        <f t="shared" si="41"/>
        <v>0.1376640950389259</v>
      </c>
    </row>
    <row r="859" spans="1:12" x14ac:dyDescent="0.25">
      <c r="A859" t="s">
        <v>877</v>
      </c>
      <c r="B859" t="s">
        <v>20</v>
      </c>
      <c r="C859" s="10">
        <v>45662</v>
      </c>
      <c r="D859" s="18" t="str">
        <f t="shared" si="39"/>
        <v>January</v>
      </c>
      <c r="E859" s="11" t="str">
        <f t="shared" si="40"/>
        <v>2025</v>
      </c>
      <c r="F859" t="s">
        <v>24</v>
      </c>
      <c r="G859" s="2">
        <v>52951</v>
      </c>
      <c r="H859" s="2">
        <v>16963</v>
      </c>
      <c r="I859" s="2">
        <v>1395</v>
      </c>
      <c r="J859" s="2">
        <v>404</v>
      </c>
      <c r="K859" s="2">
        <v>528</v>
      </c>
      <c r="L859" s="5">
        <f t="shared" si="41"/>
        <v>0.13718092318575723</v>
      </c>
    </row>
    <row r="860" spans="1:12" x14ac:dyDescent="0.25">
      <c r="A860" t="s">
        <v>878</v>
      </c>
      <c r="B860" t="s">
        <v>11</v>
      </c>
      <c r="C860" s="10">
        <v>45673</v>
      </c>
      <c r="D860" s="18" t="str">
        <f t="shared" si="39"/>
        <v>January</v>
      </c>
      <c r="E860" s="11" t="str">
        <f t="shared" si="40"/>
        <v>2025</v>
      </c>
      <c r="F860" t="s">
        <v>12</v>
      </c>
      <c r="G860" s="2">
        <v>14623</v>
      </c>
      <c r="H860" s="2">
        <v>7165</v>
      </c>
      <c r="I860" s="2">
        <v>351</v>
      </c>
      <c r="J860" s="2">
        <v>46</v>
      </c>
      <c r="K860" s="2">
        <v>187</v>
      </c>
      <c r="L860" s="5">
        <f t="shared" si="41"/>
        <v>8.150732728541521E-2</v>
      </c>
    </row>
    <row r="861" spans="1:12" x14ac:dyDescent="0.25">
      <c r="A861" t="s">
        <v>879</v>
      </c>
      <c r="B861" t="s">
        <v>14</v>
      </c>
      <c r="C861" s="10">
        <v>45588</v>
      </c>
      <c r="D861" s="18" t="str">
        <f t="shared" si="39"/>
        <v>October</v>
      </c>
      <c r="E861" s="11" t="str">
        <f t="shared" si="40"/>
        <v>2024</v>
      </c>
      <c r="F861" t="s">
        <v>32</v>
      </c>
      <c r="G861" s="2">
        <v>16904</v>
      </c>
      <c r="H861" s="2">
        <v>7010</v>
      </c>
      <c r="I861" s="2">
        <v>399</v>
      </c>
      <c r="J861" s="2">
        <v>85</v>
      </c>
      <c r="K861" s="2">
        <v>24</v>
      </c>
      <c r="L861" s="5">
        <f t="shared" si="41"/>
        <v>7.2467902995720396E-2</v>
      </c>
    </row>
    <row r="862" spans="1:12" x14ac:dyDescent="0.25">
      <c r="A862" t="s">
        <v>880</v>
      </c>
      <c r="B862" t="s">
        <v>14</v>
      </c>
      <c r="C862" s="10">
        <v>45400</v>
      </c>
      <c r="D862" s="18" t="str">
        <f t="shared" si="39"/>
        <v>April</v>
      </c>
      <c r="E862" s="11" t="str">
        <f t="shared" si="40"/>
        <v>2024</v>
      </c>
      <c r="F862" t="s">
        <v>18</v>
      </c>
      <c r="G862" s="2">
        <v>38223</v>
      </c>
      <c r="H862" s="2">
        <v>15515</v>
      </c>
      <c r="I862" s="2">
        <v>1141</v>
      </c>
      <c r="J862" s="2">
        <v>149</v>
      </c>
      <c r="K862" s="2">
        <v>128</v>
      </c>
      <c r="L862" s="5">
        <f t="shared" si="41"/>
        <v>9.1395423783435389E-2</v>
      </c>
    </row>
    <row r="863" spans="1:12" x14ac:dyDescent="0.25">
      <c r="A863" t="s">
        <v>881</v>
      </c>
      <c r="B863" t="s">
        <v>14</v>
      </c>
      <c r="C863" s="10">
        <v>45624</v>
      </c>
      <c r="D863" s="18" t="str">
        <f t="shared" si="39"/>
        <v>November</v>
      </c>
      <c r="E863" s="11" t="str">
        <f t="shared" si="40"/>
        <v>2024</v>
      </c>
      <c r="F863" t="s">
        <v>18</v>
      </c>
      <c r="G863" s="2">
        <v>33576</v>
      </c>
      <c r="H863" s="2">
        <v>20539</v>
      </c>
      <c r="I863" s="2">
        <v>1466</v>
      </c>
      <c r="J863" s="2">
        <v>253</v>
      </c>
      <c r="K863" s="2">
        <v>168</v>
      </c>
      <c r="L863" s="5">
        <f t="shared" si="41"/>
        <v>9.1873995812843862E-2</v>
      </c>
    </row>
    <row r="864" spans="1:12" x14ac:dyDescent="0.25">
      <c r="A864" t="s">
        <v>882</v>
      </c>
      <c r="B864" t="s">
        <v>17</v>
      </c>
      <c r="C864" s="10">
        <v>45312</v>
      </c>
      <c r="D864" s="18" t="str">
        <f t="shared" si="39"/>
        <v>January</v>
      </c>
      <c r="E864" s="11" t="str">
        <f t="shared" si="40"/>
        <v>2024</v>
      </c>
      <c r="F864" t="s">
        <v>15</v>
      </c>
      <c r="G864" s="2">
        <v>1717</v>
      </c>
      <c r="H864" s="2">
        <v>1264</v>
      </c>
      <c r="I864" s="2">
        <v>32</v>
      </c>
      <c r="J864" s="2">
        <v>5</v>
      </c>
      <c r="K864" s="2">
        <v>12</v>
      </c>
      <c r="L864" s="5">
        <f t="shared" si="41"/>
        <v>3.8765822784810125E-2</v>
      </c>
    </row>
    <row r="865" spans="1:12" x14ac:dyDescent="0.25">
      <c r="A865" t="s">
        <v>883</v>
      </c>
      <c r="B865" t="s">
        <v>14</v>
      </c>
      <c r="C865" s="10">
        <v>45679</v>
      </c>
      <c r="D865" s="18" t="str">
        <f t="shared" si="39"/>
        <v>January</v>
      </c>
      <c r="E865" s="11" t="str">
        <f t="shared" si="40"/>
        <v>2025</v>
      </c>
      <c r="F865" t="s">
        <v>32</v>
      </c>
      <c r="G865" s="2">
        <v>70846</v>
      </c>
      <c r="H865" s="2">
        <v>29721</v>
      </c>
      <c r="I865" s="2">
        <v>836</v>
      </c>
      <c r="J865" s="2">
        <v>407</v>
      </c>
      <c r="K865" s="2">
        <v>288</v>
      </c>
      <c r="L865" s="5">
        <f t="shared" si="41"/>
        <v>5.1512398640691764E-2</v>
      </c>
    </row>
    <row r="866" spans="1:12" x14ac:dyDescent="0.25">
      <c r="A866" t="s">
        <v>884</v>
      </c>
      <c r="B866" t="s">
        <v>17</v>
      </c>
      <c r="C866" s="10">
        <v>45964</v>
      </c>
      <c r="D866" s="18" t="str">
        <f t="shared" si="39"/>
        <v>November</v>
      </c>
      <c r="E866" s="11" t="str">
        <f t="shared" si="40"/>
        <v>2025</v>
      </c>
      <c r="F866" t="s">
        <v>15</v>
      </c>
      <c r="G866" s="2">
        <v>16001</v>
      </c>
      <c r="H866" s="2">
        <v>14045</v>
      </c>
      <c r="I866" s="2">
        <v>198</v>
      </c>
      <c r="J866" s="2">
        <v>60</v>
      </c>
      <c r="K866" s="2">
        <v>62</v>
      </c>
      <c r="L866" s="5">
        <f t="shared" si="41"/>
        <v>2.2783908864364544E-2</v>
      </c>
    </row>
    <row r="867" spans="1:12" x14ac:dyDescent="0.25">
      <c r="A867" t="s">
        <v>885</v>
      </c>
      <c r="B867" t="s">
        <v>20</v>
      </c>
      <c r="C867" s="10">
        <v>45835</v>
      </c>
      <c r="D867" s="18" t="str">
        <f t="shared" si="39"/>
        <v>June</v>
      </c>
      <c r="E867" s="11" t="str">
        <f t="shared" si="40"/>
        <v>2025</v>
      </c>
      <c r="F867" t="s">
        <v>18</v>
      </c>
      <c r="G867" s="2">
        <v>222413</v>
      </c>
      <c r="H867" s="2">
        <v>136652</v>
      </c>
      <c r="I867" s="2">
        <v>14940</v>
      </c>
      <c r="J867" s="2">
        <v>970</v>
      </c>
      <c r="K867" s="2">
        <v>2340</v>
      </c>
      <c r="L867" s="5">
        <f t="shared" si="41"/>
        <v>0.13355091765945615</v>
      </c>
    </row>
    <row r="868" spans="1:12" x14ac:dyDescent="0.25">
      <c r="A868" t="s">
        <v>886</v>
      </c>
      <c r="B868" t="s">
        <v>20</v>
      </c>
      <c r="C868" s="10">
        <v>45496</v>
      </c>
      <c r="D868" s="18" t="str">
        <f t="shared" si="39"/>
        <v>July</v>
      </c>
      <c r="E868" s="11" t="str">
        <f t="shared" si="40"/>
        <v>2024</v>
      </c>
      <c r="F868" t="s">
        <v>18</v>
      </c>
      <c r="G868" s="2">
        <v>371354</v>
      </c>
      <c r="H868" s="2">
        <v>158284</v>
      </c>
      <c r="I868" s="2">
        <v>14566</v>
      </c>
      <c r="J868" s="2">
        <v>2207</v>
      </c>
      <c r="K868" s="2">
        <v>5270</v>
      </c>
      <c r="L868" s="5">
        <f t="shared" si="41"/>
        <v>0.13926233858128428</v>
      </c>
    </row>
    <row r="869" spans="1:12" x14ac:dyDescent="0.25">
      <c r="A869" t="s">
        <v>887</v>
      </c>
      <c r="B869" t="s">
        <v>17</v>
      </c>
      <c r="C869" s="10">
        <v>45603</v>
      </c>
      <c r="D869" s="18" t="str">
        <f t="shared" si="39"/>
        <v>November</v>
      </c>
      <c r="E869" s="11" t="str">
        <f t="shared" si="40"/>
        <v>2024</v>
      </c>
      <c r="F869" t="s">
        <v>15</v>
      </c>
      <c r="G869" s="2">
        <v>19988</v>
      </c>
      <c r="H869" s="2">
        <v>11201</v>
      </c>
      <c r="I869" s="2">
        <v>120</v>
      </c>
      <c r="J869" s="2">
        <v>83</v>
      </c>
      <c r="K869" s="2">
        <v>116</v>
      </c>
      <c r="L869" s="5">
        <f t="shared" si="41"/>
        <v>2.8479600035711098E-2</v>
      </c>
    </row>
    <row r="870" spans="1:12" x14ac:dyDescent="0.25">
      <c r="A870" t="s">
        <v>888</v>
      </c>
      <c r="B870" t="s">
        <v>17</v>
      </c>
      <c r="C870" s="10">
        <v>45791</v>
      </c>
      <c r="D870" s="18" t="str">
        <f t="shared" si="39"/>
        <v>May</v>
      </c>
      <c r="E870" s="11" t="str">
        <f t="shared" si="40"/>
        <v>2025</v>
      </c>
      <c r="F870" t="s">
        <v>15</v>
      </c>
      <c r="G870" s="2">
        <v>2183</v>
      </c>
      <c r="H870" s="2">
        <v>1582</v>
      </c>
      <c r="I870" s="2">
        <v>9</v>
      </c>
      <c r="J870" s="2">
        <v>3</v>
      </c>
      <c r="K870" s="2">
        <v>22</v>
      </c>
      <c r="L870" s="5">
        <f t="shared" si="41"/>
        <v>2.1491782553729456E-2</v>
      </c>
    </row>
    <row r="871" spans="1:12" x14ac:dyDescent="0.25">
      <c r="A871" t="s">
        <v>889</v>
      </c>
      <c r="B871" t="s">
        <v>20</v>
      </c>
      <c r="C871" s="10">
        <v>45847</v>
      </c>
      <c r="D871" s="18" t="str">
        <f t="shared" si="39"/>
        <v>July</v>
      </c>
      <c r="E871" s="11" t="str">
        <f t="shared" si="40"/>
        <v>2025</v>
      </c>
      <c r="F871" t="s">
        <v>18</v>
      </c>
      <c r="G871" s="2">
        <v>447455</v>
      </c>
      <c r="H871" s="2">
        <v>248265</v>
      </c>
      <c r="I871" s="2">
        <v>27946</v>
      </c>
      <c r="J871" s="2">
        <v>2847</v>
      </c>
      <c r="K871" s="2">
        <v>2710</v>
      </c>
      <c r="L871" s="5">
        <f t="shared" si="41"/>
        <v>0.13494854288764022</v>
      </c>
    </row>
    <row r="872" spans="1:12" x14ac:dyDescent="0.25">
      <c r="A872" t="s">
        <v>890</v>
      </c>
      <c r="B872" t="s">
        <v>20</v>
      </c>
      <c r="C872" s="10">
        <v>45979</v>
      </c>
      <c r="D872" s="18" t="str">
        <f t="shared" si="39"/>
        <v>November</v>
      </c>
      <c r="E872" s="11" t="str">
        <f t="shared" si="40"/>
        <v>2025</v>
      </c>
      <c r="F872" t="s">
        <v>24</v>
      </c>
      <c r="G872" s="2">
        <v>375754</v>
      </c>
      <c r="H872" s="2">
        <v>180192</v>
      </c>
      <c r="I872" s="2">
        <v>20777</v>
      </c>
      <c r="J872" s="2">
        <v>4687</v>
      </c>
      <c r="K872" s="2">
        <v>7363</v>
      </c>
      <c r="L872" s="5">
        <f t="shared" si="41"/>
        <v>0.18217789912981708</v>
      </c>
    </row>
    <row r="873" spans="1:12" x14ac:dyDescent="0.25">
      <c r="A873" t="s">
        <v>891</v>
      </c>
      <c r="B873" t="s">
        <v>17</v>
      </c>
      <c r="C873" s="10">
        <v>45438</v>
      </c>
      <c r="D873" s="18" t="str">
        <f t="shared" si="39"/>
        <v>May</v>
      </c>
      <c r="E873" s="11" t="str">
        <f t="shared" si="40"/>
        <v>2024</v>
      </c>
      <c r="F873" t="s">
        <v>18</v>
      </c>
      <c r="G873" s="2">
        <v>58711</v>
      </c>
      <c r="H873" s="2">
        <v>51306</v>
      </c>
      <c r="I873" s="2">
        <v>1211</v>
      </c>
      <c r="J873" s="2">
        <v>398</v>
      </c>
      <c r="K873" s="2">
        <v>675</v>
      </c>
      <c r="L873" s="5">
        <f t="shared" si="41"/>
        <v>4.451721046271391E-2</v>
      </c>
    </row>
    <row r="874" spans="1:12" x14ac:dyDescent="0.25">
      <c r="A874" t="s">
        <v>892</v>
      </c>
      <c r="B874" t="s">
        <v>20</v>
      </c>
      <c r="C874" s="10">
        <v>45578</v>
      </c>
      <c r="D874" s="18" t="str">
        <f t="shared" si="39"/>
        <v>October</v>
      </c>
      <c r="E874" s="11" t="str">
        <f t="shared" si="40"/>
        <v>2024</v>
      </c>
      <c r="F874" t="s">
        <v>24</v>
      </c>
      <c r="G874" s="2">
        <v>315347</v>
      </c>
      <c r="H874" s="2">
        <v>113639</v>
      </c>
      <c r="I874" s="2">
        <v>11492</v>
      </c>
      <c r="J874" s="2">
        <v>2613</v>
      </c>
      <c r="K874" s="2">
        <v>5573</v>
      </c>
      <c r="L874" s="5">
        <f t="shared" si="41"/>
        <v>0.17316238263272293</v>
      </c>
    </row>
    <row r="875" spans="1:12" x14ac:dyDescent="0.25">
      <c r="A875" t="s">
        <v>893</v>
      </c>
      <c r="B875" t="s">
        <v>17</v>
      </c>
      <c r="C875" s="10">
        <v>45735</v>
      </c>
      <c r="D875" s="18" t="str">
        <f t="shared" si="39"/>
        <v>March</v>
      </c>
      <c r="E875" s="11" t="str">
        <f t="shared" si="40"/>
        <v>2025</v>
      </c>
      <c r="F875" t="s">
        <v>12</v>
      </c>
      <c r="G875" s="2">
        <v>976</v>
      </c>
      <c r="H875" s="2">
        <v>644</v>
      </c>
      <c r="I875" s="2">
        <v>16</v>
      </c>
      <c r="J875" s="2">
        <v>2</v>
      </c>
      <c r="K875" s="2">
        <v>10</v>
      </c>
      <c r="L875" s="5">
        <f t="shared" si="41"/>
        <v>4.3478260869565216E-2</v>
      </c>
    </row>
    <row r="876" spans="1:12" x14ac:dyDescent="0.25">
      <c r="A876" t="s">
        <v>894</v>
      </c>
      <c r="B876" t="s">
        <v>11</v>
      </c>
      <c r="C876" s="10">
        <v>45575</v>
      </c>
      <c r="D876" s="18" t="str">
        <f t="shared" si="39"/>
        <v>October</v>
      </c>
      <c r="E876" s="11" t="str">
        <f t="shared" si="40"/>
        <v>2024</v>
      </c>
      <c r="F876" t="s">
        <v>32</v>
      </c>
      <c r="G876" s="2">
        <v>19264</v>
      </c>
      <c r="H876" s="2">
        <v>12632</v>
      </c>
      <c r="I876" s="2">
        <v>157</v>
      </c>
      <c r="J876" s="2">
        <v>39</v>
      </c>
      <c r="K876" s="2">
        <v>129</v>
      </c>
      <c r="L876" s="5">
        <f t="shared" si="41"/>
        <v>2.5728309056364789E-2</v>
      </c>
    </row>
    <row r="877" spans="1:12" x14ac:dyDescent="0.25">
      <c r="A877" t="s">
        <v>895</v>
      </c>
      <c r="B877" t="s">
        <v>20</v>
      </c>
      <c r="C877" s="10">
        <v>45455</v>
      </c>
      <c r="D877" s="18" t="str">
        <f t="shared" si="39"/>
        <v>June</v>
      </c>
      <c r="E877" s="11" t="str">
        <f t="shared" si="40"/>
        <v>2024</v>
      </c>
      <c r="F877" t="s">
        <v>18</v>
      </c>
      <c r="G877" s="2">
        <v>476942</v>
      </c>
      <c r="H877" s="2">
        <v>275182</v>
      </c>
      <c r="I877" s="2">
        <v>17135</v>
      </c>
      <c r="J877" s="2">
        <v>3065</v>
      </c>
      <c r="K877" s="2">
        <v>3541</v>
      </c>
      <c r="L877" s="5">
        <f t="shared" si="41"/>
        <v>8.6273811513834481E-2</v>
      </c>
    </row>
    <row r="878" spans="1:12" x14ac:dyDescent="0.25">
      <c r="A878" t="s">
        <v>896</v>
      </c>
      <c r="B878" t="s">
        <v>11</v>
      </c>
      <c r="C878" s="10">
        <v>45572</v>
      </c>
      <c r="D878" s="18" t="str">
        <f t="shared" si="39"/>
        <v>October</v>
      </c>
      <c r="E878" s="11" t="str">
        <f t="shared" si="40"/>
        <v>2024</v>
      </c>
      <c r="F878" t="s">
        <v>15</v>
      </c>
      <c r="G878" s="2">
        <v>13582</v>
      </c>
      <c r="H878" s="2">
        <v>5738</v>
      </c>
      <c r="I878" s="2">
        <v>57</v>
      </c>
      <c r="J878" s="2">
        <v>49</v>
      </c>
      <c r="K878" s="2">
        <v>115</v>
      </c>
      <c r="L878" s="5">
        <f t="shared" si="41"/>
        <v>3.851516207737888E-2</v>
      </c>
    </row>
    <row r="879" spans="1:12" x14ac:dyDescent="0.25">
      <c r="A879" t="s">
        <v>897</v>
      </c>
      <c r="B879" t="s">
        <v>11</v>
      </c>
      <c r="C879" s="10">
        <v>45752</v>
      </c>
      <c r="D879" s="18" t="str">
        <f t="shared" si="39"/>
        <v>April</v>
      </c>
      <c r="E879" s="11" t="str">
        <f t="shared" si="40"/>
        <v>2025</v>
      </c>
      <c r="F879" t="s">
        <v>18</v>
      </c>
      <c r="G879" s="2">
        <v>28843</v>
      </c>
      <c r="H879" s="2">
        <v>19168</v>
      </c>
      <c r="I879" s="2">
        <v>698</v>
      </c>
      <c r="J879" s="2">
        <v>117</v>
      </c>
      <c r="K879" s="2">
        <v>149</v>
      </c>
      <c r="L879" s="5">
        <f t="shared" si="41"/>
        <v>5.0292153589315526E-2</v>
      </c>
    </row>
    <row r="880" spans="1:12" x14ac:dyDescent="0.25">
      <c r="A880" t="s">
        <v>898</v>
      </c>
      <c r="B880" t="s">
        <v>11</v>
      </c>
      <c r="C880" s="10">
        <v>45510</v>
      </c>
      <c r="D880" s="18" t="str">
        <f t="shared" si="39"/>
        <v>August</v>
      </c>
      <c r="E880" s="11" t="str">
        <f t="shared" si="40"/>
        <v>2024</v>
      </c>
      <c r="F880" t="s">
        <v>12</v>
      </c>
      <c r="G880" s="2">
        <v>29866</v>
      </c>
      <c r="H880" s="2">
        <v>13649</v>
      </c>
      <c r="I880" s="2">
        <v>310</v>
      </c>
      <c r="J880" s="2">
        <v>230</v>
      </c>
      <c r="K880" s="2">
        <v>392</v>
      </c>
      <c r="L880" s="5">
        <f t="shared" si="41"/>
        <v>6.8283390724595203E-2</v>
      </c>
    </row>
    <row r="881" spans="1:12" x14ac:dyDescent="0.25">
      <c r="A881" t="s">
        <v>899</v>
      </c>
      <c r="B881" t="s">
        <v>11</v>
      </c>
      <c r="C881" s="10">
        <v>46019</v>
      </c>
      <c r="D881" s="18" t="str">
        <f t="shared" si="39"/>
        <v>December</v>
      </c>
      <c r="E881" s="11" t="str">
        <f t="shared" si="40"/>
        <v>2025</v>
      </c>
      <c r="F881" t="s">
        <v>32</v>
      </c>
      <c r="G881" s="2">
        <v>29825</v>
      </c>
      <c r="H881" s="2">
        <v>16209</v>
      </c>
      <c r="I881" s="2">
        <v>256</v>
      </c>
      <c r="J881" s="2">
        <v>164</v>
      </c>
      <c r="K881" s="2">
        <v>252</v>
      </c>
      <c r="L881" s="5">
        <f t="shared" si="41"/>
        <v>4.1458449009809363E-2</v>
      </c>
    </row>
    <row r="882" spans="1:12" x14ac:dyDescent="0.25">
      <c r="A882" t="s">
        <v>900</v>
      </c>
      <c r="B882" t="s">
        <v>14</v>
      </c>
      <c r="C882" s="10">
        <v>45552</v>
      </c>
      <c r="D882" s="18" t="str">
        <f t="shared" si="39"/>
        <v>September</v>
      </c>
      <c r="E882" s="11" t="str">
        <f t="shared" si="40"/>
        <v>2024</v>
      </c>
      <c r="F882" t="s">
        <v>24</v>
      </c>
      <c r="G882" s="2">
        <v>22627</v>
      </c>
      <c r="H882" s="2">
        <v>12566</v>
      </c>
      <c r="I882" s="2">
        <v>267</v>
      </c>
      <c r="J882" s="2">
        <v>57</v>
      </c>
      <c r="K882" s="2">
        <v>43</v>
      </c>
      <c r="L882" s="5">
        <f t="shared" si="41"/>
        <v>2.9205793410791023E-2</v>
      </c>
    </row>
    <row r="883" spans="1:12" x14ac:dyDescent="0.25">
      <c r="A883" t="s">
        <v>901</v>
      </c>
      <c r="B883" t="s">
        <v>17</v>
      </c>
      <c r="C883" s="10">
        <v>45477</v>
      </c>
      <c r="D883" s="18" t="str">
        <f t="shared" si="39"/>
        <v>July</v>
      </c>
      <c r="E883" s="11" t="str">
        <f t="shared" si="40"/>
        <v>2024</v>
      </c>
      <c r="F883" t="s">
        <v>15</v>
      </c>
      <c r="G883" s="2">
        <v>3548</v>
      </c>
      <c r="H883" s="2">
        <v>2994</v>
      </c>
      <c r="I883" s="2">
        <v>78</v>
      </c>
      <c r="J883" s="2">
        <v>14</v>
      </c>
      <c r="K883" s="2">
        <v>14</v>
      </c>
      <c r="L883" s="5">
        <f t="shared" si="41"/>
        <v>3.5404141616566465E-2</v>
      </c>
    </row>
    <row r="884" spans="1:12" x14ac:dyDescent="0.25">
      <c r="A884" t="s">
        <v>902</v>
      </c>
      <c r="B884" t="s">
        <v>14</v>
      </c>
      <c r="C884" s="10">
        <v>45794</v>
      </c>
      <c r="D884" s="18" t="str">
        <f t="shared" si="39"/>
        <v>May</v>
      </c>
      <c r="E884" s="11" t="str">
        <f t="shared" si="40"/>
        <v>2025</v>
      </c>
      <c r="F884" t="s">
        <v>15</v>
      </c>
      <c r="G884" s="2">
        <v>25939</v>
      </c>
      <c r="H884" s="2">
        <v>10890</v>
      </c>
      <c r="I884" s="2">
        <v>633</v>
      </c>
      <c r="J884" s="2">
        <v>43</v>
      </c>
      <c r="K884" s="2">
        <v>71</v>
      </c>
      <c r="L884" s="5">
        <f t="shared" si="41"/>
        <v>6.8595041322314046E-2</v>
      </c>
    </row>
    <row r="885" spans="1:12" x14ac:dyDescent="0.25">
      <c r="A885" t="s">
        <v>903</v>
      </c>
      <c r="B885" t="s">
        <v>11</v>
      </c>
      <c r="C885" s="10">
        <v>45496</v>
      </c>
      <c r="D885" s="18" t="str">
        <f t="shared" si="39"/>
        <v>July</v>
      </c>
      <c r="E885" s="11" t="str">
        <f t="shared" si="40"/>
        <v>2024</v>
      </c>
      <c r="F885" t="s">
        <v>12</v>
      </c>
      <c r="G885" s="2">
        <v>5443</v>
      </c>
      <c r="H885" s="2">
        <v>2215</v>
      </c>
      <c r="I885" s="2">
        <v>30</v>
      </c>
      <c r="J885" s="2">
        <v>39</v>
      </c>
      <c r="K885" s="2">
        <v>54</v>
      </c>
      <c r="L885" s="5">
        <f t="shared" si="41"/>
        <v>5.5530474040632057E-2</v>
      </c>
    </row>
    <row r="886" spans="1:12" x14ac:dyDescent="0.25">
      <c r="A886" t="s">
        <v>904</v>
      </c>
      <c r="B886" t="s">
        <v>14</v>
      </c>
      <c r="C886" s="10">
        <v>45672</v>
      </c>
      <c r="D886" s="18" t="str">
        <f t="shared" si="39"/>
        <v>January</v>
      </c>
      <c r="E886" s="11" t="str">
        <f t="shared" si="40"/>
        <v>2025</v>
      </c>
      <c r="F886" t="s">
        <v>18</v>
      </c>
      <c r="G886" s="2">
        <v>66171</v>
      </c>
      <c r="H886" s="2">
        <v>42597</v>
      </c>
      <c r="I886" s="2">
        <v>2477</v>
      </c>
      <c r="J886" s="2">
        <v>500</v>
      </c>
      <c r="K886" s="2">
        <v>76</v>
      </c>
      <c r="L886" s="5">
        <f t="shared" si="41"/>
        <v>7.1671713970467399E-2</v>
      </c>
    </row>
    <row r="887" spans="1:12" x14ac:dyDescent="0.25">
      <c r="A887" t="s">
        <v>905</v>
      </c>
      <c r="B887" t="s">
        <v>11</v>
      </c>
      <c r="C887" s="10">
        <v>45577</v>
      </c>
      <c r="D887" s="18" t="str">
        <f t="shared" si="39"/>
        <v>October</v>
      </c>
      <c r="E887" s="11" t="str">
        <f t="shared" si="40"/>
        <v>2024</v>
      </c>
      <c r="F887" t="s">
        <v>18</v>
      </c>
      <c r="G887" s="2">
        <v>16428</v>
      </c>
      <c r="H887" s="2">
        <v>5621</v>
      </c>
      <c r="I887" s="2">
        <v>56</v>
      </c>
      <c r="J887" s="2">
        <v>78</v>
      </c>
      <c r="K887" s="2">
        <v>39</v>
      </c>
      <c r="L887" s="5">
        <f t="shared" si="41"/>
        <v>3.0777441736345845E-2</v>
      </c>
    </row>
    <row r="888" spans="1:12" x14ac:dyDescent="0.25">
      <c r="A888" t="s">
        <v>906</v>
      </c>
      <c r="B888" t="s">
        <v>14</v>
      </c>
      <c r="C888" s="10">
        <v>45804</v>
      </c>
      <c r="D888" s="18" t="str">
        <f t="shared" si="39"/>
        <v>May</v>
      </c>
      <c r="E888" s="11" t="str">
        <f t="shared" si="40"/>
        <v>2025</v>
      </c>
      <c r="F888" t="s">
        <v>32</v>
      </c>
      <c r="G888" s="2">
        <v>33748</v>
      </c>
      <c r="H888" s="2">
        <v>20652</v>
      </c>
      <c r="I888" s="2">
        <v>1454</v>
      </c>
      <c r="J888" s="2">
        <v>46</v>
      </c>
      <c r="K888" s="2">
        <v>194</v>
      </c>
      <c r="L888" s="5">
        <f t="shared" si="41"/>
        <v>8.2025953902769705E-2</v>
      </c>
    </row>
    <row r="889" spans="1:12" x14ac:dyDescent="0.25">
      <c r="A889" t="s">
        <v>907</v>
      </c>
      <c r="B889" t="s">
        <v>20</v>
      </c>
      <c r="C889" s="10">
        <v>45657</v>
      </c>
      <c r="D889" s="18" t="str">
        <f t="shared" si="39"/>
        <v>December</v>
      </c>
      <c r="E889" s="11" t="str">
        <f t="shared" si="40"/>
        <v>2024</v>
      </c>
      <c r="F889" t="s">
        <v>24</v>
      </c>
      <c r="G889" s="2">
        <v>257884</v>
      </c>
      <c r="H889" s="2">
        <v>169444</v>
      </c>
      <c r="I889" s="2">
        <v>13273</v>
      </c>
      <c r="J889" s="2">
        <v>3292</v>
      </c>
      <c r="K889" s="2">
        <v>3944</v>
      </c>
      <c r="L889" s="5">
        <f t="shared" si="41"/>
        <v>0.12103703878567551</v>
      </c>
    </row>
    <row r="890" spans="1:12" x14ac:dyDescent="0.25">
      <c r="A890" t="s">
        <v>908</v>
      </c>
      <c r="B890" t="s">
        <v>14</v>
      </c>
      <c r="C890" s="10">
        <v>45417</v>
      </c>
      <c r="D890" s="18" t="str">
        <f t="shared" si="39"/>
        <v>May</v>
      </c>
      <c r="E890" s="11" t="str">
        <f t="shared" si="40"/>
        <v>2024</v>
      </c>
      <c r="F890" t="s">
        <v>32</v>
      </c>
      <c r="G890" s="2">
        <v>45413</v>
      </c>
      <c r="H890" s="2">
        <v>34207</v>
      </c>
      <c r="I890" s="2">
        <v>802</v>
      </c>
      <c r="J890" s="2">
        <v>100</v>
      </c>
      <c r="K890" s="2">
        <v>178</v>
      </c>
      <c r="L890" s="5">
        <f t="shared" si="41"/>
        <v>3.157248516385535E-2</v>
      </c>
    </row>
    <row r="891" spans="1:12" x14ac:dyDescent="0.25">
      <c r="A891" t="s">
        <v>909</v>
      </c>
      <c r="B891" t="s">
        <v>17</v>
      </c>
      <c r="C891" s="10">
        <v>45442</v>
      </c>
      <c r="D891" s="18" t="str">
        <f t="shared" si="39"/>
        <v>May</v>
      </c>
      <c r="E891" s="11" t="str">
        <f t="shared" si="40"/>
        <v>2024</v>
      </c>
      <c r="F891" t="s">
        <v>12</v>
      </c>
      <c r="G891" s="2">
        <v>1754</v>
      </c>
      <c r="H891" s="2">
        <v>1371</v>
      </c>
      <c r="I891" s="2">
        <v>25</v>
      </c>
      <c r="J891" s="2">
        <v>6</v>
      </c>
      <c r="K891" s="2">
        <v>6</v>
      </c>
      <c r="L891" s="5">
        <f t="shared" si="41"/>
        <v>2.6987600291757841E-2</v>
      </c>
    </row>
    <row r="892" spans="1:12" x14ac:dyDescent="0.25">
      <c r="A892" t="s">
        <v>910</v>
      </c>
      <c r="B892" t="s">
        <v>17</v>
      </c>
      <c r="C892" s="10">
        <v>45984</v>
      </c>
      <c r="D892" s="18" t="str">
        <f t="shared" si="39"/>
        <v>November</v>
      </c>
      <c r="E892" s="11" t="str">
        <f t="shared" si="40"/>
        <v>2025</v>
      </c>
      <c r="F892" t="s">
        <v>15</v>
      </c>
      <c r="G892" s="2">
        <v>276</v>
      </c>
      <c r="H892" s="2">
        <v>248</v>
      </c>
      <c r="I892" s="2">
        <v>5</v>
      </c>
      <c r="J892" s="2">
        <v>1</v>
      </c>
      <c r="K892" s="2">
        <v>2</v>
      </c>
      <c r="L892" s="5">
        <f t="shared" si="41"/>
        <v>3.2258064516129031E-2</v>
      </c>
    </row>
    <row r="893" spans="1:12" x14ac:dyDescent="0.25">
      <c r="A893" t="s">
        <v>911</v>
      </c>
      <c r="B893" t="s">
        <v>11</v>
      </c>
      <c r="C893" s="10">
        <v>45579</v>
      </c>
      <c r="D893" s="18" t="str">
        <f t="shared" si="39"/>
        <v>October</v>
      </c>
      <c r="E893" s="11" t="str">
        <f t="shared" si="40"/>
        <v>2024</v>
      </c>
      <c r="F893" t="s">
        <v>32</v>
      </c>
      <c r="G893" s="2">
        <v>15505</v>
      </c>
      <c r="H893" s="2">
        <v>6664</v>
      </c>
      <c r="I893" s="2">
        <v>145</v>
      </c>
      <c r="J893" s="2">
        <v>27</v>
      </c>
      <c r="K893" s="2">
        <v>145</v>
      </c>
      <c r="L893" s="5">
        <f t="shared" si="41"/>
        <v>4.7569027611044416E-2</v>
      </c>
    </row>
    <row r="894" spans="1:12" x14ac:dyDescent="0.25">
      <c r="A894" t="s">
        <v>912</v>
      </c>
      <c r="B894" t="s">
        <v>17</v>
      </c>
      <c r="C894" s="10">
        <v>45595</v>
      </c>
      <c r="D894" s="18" t="str">
        <f t="shared" si="39"/>
        <v>October</v>
      </c>
      <c r="E894" s="11" t="str">
        <f t="shared" si="40"/>
        <v>2024</v>
      </c>
      <c r="F894" t="s">
        <v>18</v>
      </c>
      <c r="G894" s="2">
        <v>14933</v>
      </c>
      <c r="H894" s="2">
        <v>8845</v>
      </c>
      <c r="I894" s="2">
        <v>112</v>
      </c>
      <c r="J894" s="2">
        <v>44</v>
      </c>
      <c r="K894" s="2">
        <v>68</v>
      </c>
      <c r="L894" s="5">
        <f t="shared" si="41"/>
        <v>2.532504239683437E-2</v>
      </c>
    </row>
    <row r="895" spans="1:12" x14ac:dyDescent="0.25">
      <c r="A895" t="s">
        <v>913</v>
      </c>
      <c r="B895" t="s">
        <v>20</v>
      </c>
      <c r="C895" s="10">
        <v>45889</v>
      </c>
      <c r="D895" s="18" t="str">
        <f t="shared" si="39"/>
        <v>August</v>
      </c>
      <c r="E895" s="11" t="str">
        <f t="shared" si="40"/>
        <v>2025</v>
      </c>
      <c r="F895" t="s">
        <v>24</v>
      </c>
      <c r="G895" s="2">
        <v>81936</v>
      </c>
      <c r="H895" s="2">
        <v>52909</v>
      </c>
      <c r="I895" s="2">
        <v>2978</v>
      </c>
      <c r="J895" s="2">
        <v>740</v>
      </c>
      <c r="K895" s="2">
        <v>2081</v>
      </c>
      <c r="L895" s="5">
        <f t="shared" si="41"/>
        <v>0.10960328110529399</v>
      </c>
    </row>
    <row r="896" spans="1:12" x14ac:dyDescent="0.25">
      <c r="A896" t="s">
        <v>914</v>
      </c>
      <c r="B896" t="s">
        <v>14</v>
      </c>
      <c r="C896" s="10">
        <v>45680</v>
      </c>
      <c r="D896" s="18" t="str">
        <f t="shared" si="39"/>
        <v>January</v>
      </c>
      <c r="E896" s="11" t="str">
        <f t="shared" si="40"/>
        <v>2025</v>
      </c>
      <c r="F896" t="s">
        <v>24</v>
      </c>
      <c r="G896" s="2">
        <v>57977</v>
      </c>
      <c r="H896" s="2">
        <v>40677</v>
      </c>
      <c r="I896" s="2">
        <v>2927</v>
      </c>
      <c r="J896" s="2">
        <v>527</v>
      </c>
      <c r="K896" s="2">
        <v>120</v>
      </c>
      <c r="L896" s="5">
        <f t="shared" si="41"/>
        <v>8.7862920077685175E-2</v>
      </c>
    </row>
    <row r="897" spans="1:12" x14ac:dyDescent="0.25">
      <c r="A897" t="s">
        <v>915</v>
      </c>
      <c r="B897" t="s">
        <v>14</v>
      </c>
      <c r="C897" s="10">
        <v>45535</v>
      </c>
      <c r="D897" s="18" t="str">
        <f t="shared" si="39"/>
        <v>August</v>
      </c>
      <c r="E897" s="11" t="str">
        <f t="shared" si="40"/>
        <v>2024</v>
      </c>
      <c r="F897" t="s">
        <v>24</v>
      </c>
      <c r="G897" s="2">
        <v>89229</v>
      </c>
      <c r="H897" s="2">
        <v>62294</v>
      </c>
      <c r="I897" s="2">
        <v>2398</v>
      </c>
      <c r="J897" s="2">
        <v>801</v>
      </c>
      <c r="K897" s="2">
        <v>138</v>
      </c>
      <c r="L897" s="5">
        <f t="shared" si="41"/>
        <v>5.3568561980287026E-2</v>
      </c>
    </row>
    <row r="898" spans="1:12" x14ac:dyDescent="0.25">
      <c r="A898" t="s">
        <v>916</v>
      </c>
      <c r="B898" t="s">
        <v>26</v>
      </c>
      <c r="C898" s="10">
        <v>46009</v>
      </c>
      <c r="D898" s="18" t="str">
        <f t="shared" si="39"/>
        <v>December</v>
      </c>
      <c r="E898" s="11" t="str">
        <f t="shared" si="40"/>
        <v>2025</v>
      </c>
      <c r="F898" t="s">
        <v>32</v>
      </c>
      <c r="G898" s="2">
        <v>4496</v>
      </c>
      <c r="H898" s="2">
        <v>2387</v>
      </c>
      <c r="I898" s="2">
        <v>67</v>
      </c>
      <c r="J898" s="2">
        <v>40</v>
      </c>
      <c r="K898" s="2">
        <v>17</v>
      </c>
      <c r="L898" s="5">
        <f t="shared" si="41"/>
        <v>5.1948051948051951E-2</v>
      </c>
    </row>
    <row r="899" spans="1:12" x14ac:dyDescent="0.25">
      <c r="A899" t="s">
        <v>917</v>
      </c>
      <c r="B899" t="s">
        <v>20</v>
      </c>
      <c r="C899" s="10">
        <v>45650</v>
      </c>
      <c r="D899" s="18" t="str">
        <f t="shared" ref="D899:D962" si="42">TEXT($C899,"MMMM")</f>
        <v>December</v>
      </c>
      <c r="E899" s="11" t="str">
        <f t="shared" ref="E899:E962" si="43">TEXT(C899,"yyyy")</f>
        <v>2024</v>
      </c>
      <c r="F899" t="s">
        <v>24</v>
      </c>
      <c r="G899" s="2">
        <v>114649</v>
      </c>
      <c r="H899" s="2">
        <v>40915</v>
      </c>
      <c r="I899" s="2">
        <v>4905</v>
      </c>
      <c r="J899" s="2">
        <v>627</v>
      </c>
      <c r="K899" s="2">
        <v>1019</v>
      </c>
      <c r="L899" s="5">
        <f t="shared" ref="L899:L962" si="44">SUM(I899:K899)/H899</f>
        <v>0.16011242820481486</v>
      </c>
    </row>
    <row r="900" spans="1:12" x14ac:dyDescent="0.25">
      <c r="A900" t="s">
        <v>918</v>
      </c>
      <c r="B900" t="s">
        <v>14</v>
      </c>
      <c r="C900" s="10">
        <v>45777</v>
      </c>
      <c r="D900" s="18" t="str">
        <f t="shared" si="42"/>
        <v>April</v>
      </c>
      <c r="E900" s="11" t="str">
        <f t="shared" si="43"/>
        <v>2025</v>
      </c>
      <c r="F900" t="s">
        <v>32</v>
      </c>
      <c r="G900" s="2">
        <v>57763</v>
      </c>
      <c r="H900" s="2">
        <v>39016</v>
      </c>
      <c r="I900" s="2">
        <v>2813</v>
      </c>
      <c r="J900" s="2">
        <v>376</v>
      </c>
      <c r="K900" s="2">
        <v>121</v>
      </c>
      <c r="L900" s="5">
        <f t="shared" si="44"/>
        <v>8.4836989952839864E-2</v>
      </c>
    </row>
    <row r="901" spans="1:12" x14ac:dyDescent="0.25">
      <c r="A901" t="s">
        <v>919</v>
      </c>
      <c r="B901" t="s">
        <v>17</v>
      </c>
      <c r="C901" s="10">
        <v>45332</v>
      </c>
      <c r="D901" s="18" t="str">
        <f t="shared" si="42"/>
        <v>February</v>
      </c>
      <c r="E901" s="11" t="str">
        <f t="shared" si="43"/>
        <v>2024</v>
      </c>
      <c r="F901" t="s">
        <v>12</v>
      </c>
      <c r="G901" s="2">
        <v>13664</v>
      </c>
      <c r="H901" s="2">
        <v>7037</v>
      </c>
      <c r="I901" s="2">
        <v>193</v>
      </c>
      <c r="J901" s="2">
        <v>40</v>
      </c>
      <c r="K901" s="2">
        <v>28</v>
      </c>
      <c r="L901" s="5">
        <f t="shared" si="44"/>
        <v>3.7089668892994171E-2</v>
      </c>
    </row>
    <row r="902" spans="1:12" x14ac:dyDescent="0.25">
      <c r="A902" t="s">
        <v>920</v>
      </c>
      <c r="B902" t="s">
        <v>11</v>
      </c>
      <c r="C902" s="10">
        <v>45771</v>
      </c>
      <c r="D902" s="18" t="str">
        <f t="shared" si="42"/>
        <v>April</v>
      </c>
      <c r="E902" s="11" t="str">
        <f t="shared" si="43"/>
        <v>2025</v>
      </c>
      <c r="F902" t="s">
        <v>18</v>
      </c>
      <c r="G902" s="2">
        <v>64115</v>
      </c>
      <c r="H902" s="2">
        <v>40522</v>
      </c>
      <c r="I902" s="2">
        <v>595</v>
      </c>
      <c r="J902" s="2">
        <v>676</v>
      </c>
      <c r="K902" s="2">
        <v>1102</v>
      </c>
      <c r="L902" s="5">
        <f t="shared" si="44"/>
        <v>5.8560781797542073E-2</v>
      </c>
    </row>
    <row r="903" spans="1:12" x14ac:dyDescent="0.25">
      <c r="A903" t="s">
        <v>921</v>
      </c>
      <c r="B903" t="s">
        <v>20</v>
      </c>
      <c r="C903" s="10">
        <v>45470</v>
      </c>
      <c r="D903" s="18" t="str">
        <f t="shared" si="42"/>
        <v>June</v>
      </c>
      <c r="E903" s="11" t="str">
        <f t="shared" si="43"/>
        <v>2024</v>
      </c>
      <c r="F903" t="s">
        <v>24</v>
      </c>
      <c r="G903" s="2">
        <v>90328</v>
      </c>
      <c r="H903" s="2">
        <v>42224</v>
      </c>
      <c r="I903" s="2">
        <v>1995</v>
      </c>
      <c r="J903" s="2">
        <v>1075</v>
      </c>
      <c r="K903" s="2">
        <v>1562</v>
      </c>
      <c r="L903" s="5">
        <f t="shared" si="44"/>
        <v>0.10970064418340281</v>
      </c>
    </row>
    <row r="904" spans="1:12" x14ac:dyDescent="0.25">
      <c r="A904" t="s">
        <v>922</v>
      </c>
      <c r="B904" t="s">
        <v>14</v>
      </c>
      <c r="C904" s="10">
        <v>45588</v>
      </c>
      <c r="D904" s="18" t="str">
        <f t="shared" si="42"/>
        <v>October</v>
      </c>
      <c r="E904" s="11" t="str">
        <f t="shared" si="43"/>
        <v>2024</v>
      </c>
      <c r="F904" t="s">
        <v>15</v>
      </c>
      <c r="G904" s="2">
        <v>35571</v>
      </c>
      <c r="H904" s="2">
        <v>26417</v>
      </c>
      <c r="I904" s="2">
        <v>1163</v>
      </c>
      <c r="J904" s="2">
        <v>337</v>
      </c>
      <c r="K904" s="2">
        <v>87</v>
      </c>
      <c r="L904" s="5">
        <f t="shared" si="44"/>
        <v>6.0074951735624785E-2</v>
      </c>
    </row>
    <row r="905" spans="1:12" x14ac:dyDescent="0.25">
      <c r="A905" t="s">
        <v>923</v>
      </c>
      <c r="B905" t="s">
        <v>14</v>
      </c>
      <c r="C905" s="10">
        <v>45896</v>
      </c>
      <c r="D905" s="18" t="str">
        <f t="shared" si="42"/>
        <v>August</v>
      </c>
      <c r="E905" s="11" t="str">
        <f t="shared" si="43"/>
        <v>2025</v>
      </c>
      <c r="F905" t="s">
        <v>15</v>
      </c>
      <c r="G905" s="2">
        <v>40905</v>
      </c>
      <c r="H905" s="2">
        <v>31015</v>
      </c>
      <c r="I905" s="2">
        <v>2164</v>
      </c>
      <c r="J905" s="2">
        <v>203</v>
      </c>
      <c r="K905" s="2">
        <v>58</v>
      </c>
      <c r="L905" s="5">
        <f t="shared" si="44"/>
        <v>7.8187973561180069E-2</v>
      </c>
    </row>
    <row r="906" spans="1:12" x14ac:dyDescent="0.25">
      <c r="A906" t="s">
        <v>924</v>
      </c>
      <c r="B906" t="s">
        <v>14</v>
      </c>
      <c r="C906" s="10">
        <v>45565</v>
      </c>
      <c r="D906" s="18" t="str">
        <f t="shared" si="42"/>
        <v>September</v>
      </c>
      <c r="E906" s="11" t="str">
        <f t="shared" si="43"/>
        <v>2024</v>
      </c>
      <c r="F906" t="s">
        <v>15</v>
      </c>
      <c r="G906" s="2">
        <v>28847</v>
      </c>
      <c r="H906" s="2">
        <v>16971</v>
      </c>
      <c r="I906" s="2">
        <v>1078</v>
      </c>
      <c r="J906" s="2">
        <v>73</v>
      </c>
      <c r="K906" s="2">
        <v>164</v>
      </c>
      <c r="L906" s="5">
        <f t="shared" si="44"/>
        <v>7.7485121678156854E-2</v>
      </c>
    </row>
    <row r="907" spans="1:12" x14ac:dyDescent="0.25">
      <c r="A907" t="s">
        <v>925</v>
      </c>
      <c r="B907" t="s">
        <v>11</v>
      </c>
      <c r="C907" s="10">
        <v>45862</v>
      </c>
      <c r="D907" s="18" t="str">
        <f t="shared" si="42"/>
        <v>July</v>
      </c>
      <c r="E907" s="11" t="str">
        <f t="shared" si="43"/>
        <v>2025</v>
      </c>
      <c r="F907" t="s">
        <v>12</v>
      </c>
      <c r="G907" s="2">
        <v>4581</v>
      </c>
      <c r="H907" s="2">
        <v>1515</v>
      </c>
      <c r="I907" s="2">
        <v>34</v>
      </c>
      <c r="J907" s="2">
        <v>13</v>
      </c>
      <c r="K907" s="2">
        <v>45</v>
      </c>
      <c r="L907" s="5">
        <f t="shared" si="44"/>
        <v>6.0726072607260727E-2</v>
      </c>
    </row>
    <row r="908" spans="1:12" x14ac:dyDescent="0.25">
      <c r="A908" t="s">
        <v>926</v>
      </c>
      <c r="B908" t="s">
        <v>20</v>
      </c>
      <c r="C908" s="10">
        <v>45605</v>
      </c>
      <c r="D908" s="18" t="str">
        <f t="shared" si="42"/>
        <v>November</v>
      </c>
      <c r="E908" s="11" t="str">
        <f t="shared" si="43"/>
        <v>2024</v>
      </c>
      <c r="F908" t="s">
        <v>18</v>
      </c>
      <c r="G908" s="2">
        <v>231187</v>
      </c>
      <c r="H908" s="2">
        <v>120922</v>
      </c>
      <c r="I908" s="2">
        <v>6396</v>
      </c>
      <c r="J908" s="2">
        <v>3163</v>
      </c>
      <c r="K908" s="2">
        <v>3519</v>
      </c>
      <c r="L908" s="5">
        <f t="shared" si="44"/>
        <v>0.10815236268007476</v>
      </c>
    </row>
    <row r="909" spans="1:12" x14ac:dyDescent="0.25">
      <c r="A909" t="s">
        <v>927</v>
      </c>
      <c r="B909" t="s">
        <v>14</v>
      </c>
      <c r="C909" s="10">
        <v>45401</v>
      </c>
      <c r="D909" s="18" t="str">
        <f t="shared" si="42"/>
        <v>April</v>
      </c>
      <c r="E909" s="11" t="str">
        <f t="shared" si="43"/>
        <v>2024</v>
      </c>
      <c r="F909" t="s">
        <v>15</v>
      </c>
      <c r="G909" s="2">
        <v>19046</v>
      </c>
      <c r="H909" s="2">
        <v>10075</v>
      </c>
      <c r="I909" s="2">
        <v>319</v>
      </c>
      <c r="J909" s="2">
        <v>147</v>
      </c>
      <c r="K909" s="2">
        <v>67</v>
      </c>
      <c r="L909" s="5">
        <f t="shared" si="44"/>
        <v>5.2903225806451612E-2</v>
      </c>
    </row>
    <row r="910" spans="1:12" x14ac:dyDescent="0.25">
      <c r="A910" t="s">
        <v>928</v>
      </c>
      <c r="B910" t="s">
        <v>14</v>
      </c>
      <c r="C910" s="10">
        <v>45968</v>
      </c>
      <c r="D910" s="18" t="str">
        <f t="shared" si="42"/>
        <v>November</v>
      </c>
      <c r="E910" s="11" t="str">
        <f t="shared" si="43"/>
        <v>2025</v>
      </c>
      <c r="F910" t="s">
        <v>24</v>
      </c>
      <c r="G910" s="2">
        <v>24051</v>
      </c>
      <c r="H910" s="2">
        <v>10657</v>
      </c>
      <c r="I910" s="2">
        <v>755</v>
      </c>
      <c r="J910" s="2">
        <v>153</v>
      </c>
      <c r="K910" s="2">
        <v>85</v>
      </c>
      <c r="L910" s="5">
        <f t="shared" si="44"/>
        <v>9.3178192737168056E-2</v>
      </c>
    </row>
    <row r="911" spans="1:12" x14ac:dyDescent="0.25">
      <c r="A911" t="s">
        <v>929</v>
      </c>
      <c r="B911" t="s">
        <v>14</v>
      </c>
      <c r="C911" s="10">
        <v>45561</v>
      </c>
      <c r="D911" s="18" t="str">
        <f t="shared" si="42"/>
        <v>September</v>
      </c>
      <c r="E911" s="11" t="str">
        <f t="shared" si="43"/>
        <v>2024</v>
      </c>
      <c r="F911" t="s">
        <v>18</v>
      </c>
      <c r="G911" s="2">
        <v>72929</v>
      </c>
      <c r="H911" s="2">
        <v>38930</v>
      </c>
      <c r="I911" s="2">
        <v>1482</v>
      </c>
      <c r="J911" s="2">
        <v>471</v>
      </c>
      <c r="K911" s="2">
        <v>84</v>
      </c>
      <c r="L911" s="5">
        <f t="shared" si="44"/>
        <v>5.2324685332648342E-2</v>
      </c>
    </row>
    <row r="912" spans="1:12" x14ac:dyDescent="0.25">
      <c r="A912" t="s">
        <v>930</v>
      </c>
      <c r="B912" t="s">
        <v>20</v>
      </c>
      <c r="C912" s="10">
        <v>45841</v>
      </c>
      <c r="D912" s="18" t="str">
        <f t="shared" si="42"/>
        <v>July</v>
      </c>
      <c r="E912" s="11" t="str">
        <f t="shared" si="43"/>
        <v>2025</v>
      </c>
      <c r="F912" t="s">
        <v>24</v>
      </c>
      <c r="G912" s="2">
        <v>53676</v>
      </c>
      <c r="H912" s="2">
        <v>37463</v>
      </c>
      <c r="I912" s="2">
        <v>1490</v>
      </c>
      <c r="J912" s="2">
        <v>282</v>
      </c>
      <c r="K912" s="2">
        <v>1104</v>
      </c>
      <c r="L912" s="5">
        <f t="shared" si="44"/>
        <v>7.6769078824440118E-2</v>
      </c>
    </row>
    <row r="913" spans="1:12" x14ac:dyDescent="0.25">
      <c r="A913" t="s">
        <v>931</v>
      </c>
      <c r="B913" t="s">
        <v>14</v>
      </c>
      <c r="C913" s="10">
        <v>45705</v>
      </c>
      <c r="D913" s="18" t="str">
        <f t="shared" si="42"/>
        <v>February</v>
      </c>
      <c r="E913" s="11" t="str">
        <f t="shared" si="43"/>
        <v>2025</v>
      </c>
      <c r="F913" t="s">
        <v>18</v>
      </c>
      <c r="G913" s="2">
        <v>71115</v>
      </c>
      <c r="H913" s="2">
        <v>34108</v>
      </c>
      <c r="I913" s="2">
        <v>1168</v>
      </c>
      <c r="J913" s="2">
        <v>322</v>
      </c>
      <c r="K913" s="2">
        <v>214</v>
      </c>
      <c r="L913" s="5">
        <f t="shared" si="44"/>
        <v>4.9958953911105899E-2</v>
      </c>
    </row>
    <row r="914" spans="1:12" x14ac:dyDescent="0.25">
      <c r="A914" t="s">
        <v>932</v>
      </c>
      <c r="B914" t="s">
        <v>20</v>
      </c>
      <c r="C914" s="10">
        <v>45977</v>
      </c>
      <c r="D914" s="18" t="str">
        <f t="shared" si="42"/>
        <v>November</v>
      </c>
      <c r="E914" s="11" t="str">
        <f t="shared" si="43"/>
        <v>2025</v>
      </c>
      <c r="F914" t="s">
        <v>24</v>
      </c>
      <c r="G914" s="2">
        <v>37114</v>
      </c>
      <c r="H914" s="2">
        <v>21005</v>
      </c>
      <c r="I914" s="2">
        <v>2220</v>
      </c>
      <c r="J914" s="2">
        <v>571</v>
      </c>
      <c r="K914" s="2">
        <v>995</v>
      </c>
      <c r="L914" s="5">
        <f t="shared" si="44"/>
        <v>0.18024279933349202</v>
      </c>
    </row>
    <row r="915" spans="1:12" x14ac:dyDescent="0.25">
      <c r="A915" t="s">
        <v>933</v>
      </c>
      <c r="B915" t="s">
        <v>26</v>
      </c>
      <c r="C915" s="10">
        <v>45924</v>
      </c>
      <c r="D915" s="18" t="str">
        <f t="shared" si="42"/>
        <v>September</v>
      </c>
      <c r="E915" s="11" t="str">
        <f t="shared" si="43"/>
        <v>2025</v>
      </c>
      <c r="F915" t="s">
        <v>12</v>
      </c>
      <c r="G915" s="2">
        <v>2081</v>
      </c>
      <c r="H915" s="2">
        <v>917</v>
      </c>
      <c r="I915" s="2">
        <v>37</v>
      </c>
      <c r="J915" s="2">
        <v>14</v>
      </c>
      <c r="K915" s="2">
        <v>8</v>
      </c>
      <c r="L915" s="5">
        <f t="shared" si="44"/>
        <v>6.4340239912759001E-2</v>
      </c>
    </row>
    <row r="916" spans="1:12" x14ac:dyDescent="0.25">
      <c r="A916" t="s">
        <v>934</v>
      </c>
      <c r="B916" t="s">
        <v>17</v>
      </c>
      <c r="C916" s="10">
        <v>45310</v>
      </c>
      <c r="D916" s="18" t="str">
        <f t="shared" si="42"/>
        <v>January</v>
      </c>
      <c r="E916" s="11" t="str">
        <f t="shared" si="43"/>
        <v>2024</v>
      </c>
      <c r="F916" t="s">
        <v>12</v>
      </c>
      <c r="G916" s="2">
        <v>1845</v>
      </c>
      <c r="H916" s="2">
        <v>1615</v>
      </c>
      <c r="I916" s="2">
        <v>38</v>
      </c>
      <c r="J916" s="2">
        <v>3</v>
      </c>
      <c r="K916" s="2">
        <v>8</v>
      </c>
      <c r="L916" s="5">
        <f t="shared" si="44"/>
        <v>3.0340557275541795E-2</v>
      </c>
    </row>
    <row r="917" spans="1:12" x14ac:dyDescent="0.25">
      <c r="A917" t="s">
        <v>935</v>
      </c>
      <c r="B917" t="s">
        <v>17</v>
      </c>
      <c r="C917" s="10">
        <v>45555</v>
      </c>
      <c r="D917" s="18" t="str">
        <f t="shared" si="42"/>
        <v>September</v>
      </c>
      <c r="E917" s="11" t="str">
        <f t="shared" si="43"/>
        <v>2024</v>
      </c>
      <c r="F917" t="s">
        <v>15</v>
      </c>
      <c r="G917" s="2">
        <v>4817</v>
      </c>
      <c r="H917" s="2">
        <v>3595</v>
      </c>
      <c r="I917" s="2">
        <v>106</v>
      </c>
      <c r="J917" s="2">
        <v>21</v>
      </c>
      <c r="K917" s="2">
        <v>32</v>
      </c>
      <c r="L917" s="5">
        <f t="shared" si="44"/>
        <v>4.4228094575799723E-2</v>
      </c>
    </row>
    <row r="918" spans="1:12" x14ac:dyDescent="0.25">
      <c r="A918" t="s">
        <v>936</v>
      </c>
      <c r="B918" t="s">
        <v>20</v>
      </c>
      <c r="C918" s="10">
        <v>45571</v>
      </c>
      <c r="D918" s="18" t="str">
        <f t="shared" si="42"/>
        <v>October</v>
      </c>
      <c r="E918" s="11" t="str">
        <f t="shared" si="43"/>
        <v>2024</v>
      </c>
      <c r="F918" t="s">
        <v>24</v>
      </c>
      <c r="G918" s="2">
        <v>128853</v>
      </c>
      <c r="H918" s="2">
        <v>68911</v>
      </c>
      <c r="I918" s="2">
        <v>7500</v>
      </c>
      <c r="J918" s="2">
        <v>596</v>
      </c>
      <c r="K918" s="2">
        <v>1685</v>
      </c>
      <c r="L918" s="5">
        <f t="shared" si="44"/>
        <v>0.14193670096211056</v>
      </c>
    </row>
    <row r="919" spans="1:12" x14ac:dyDescent="0.25">
      <c r="A919" t="s">
        <v>937</v>
      </c>
      <c r="B919" t="s">
        <v>14</v>
      </c>
      <c r="C919" s="10">
        <v>45737</v>
      </c>
      <c r="D919" s="18" t="str">
        <f t="shared" si="42"/>
        <v>March</v>
      </c>
      <c r="E919" s="11" t="str">
        <f t="shared" si="43"/>
        <v>2025</v>
      </c>
      <c r="F919" t="s">
        <v>24</v>
      </c>
      <c r="G919" s="2">
        <v>57654</v>
      </c>
      <c r="H919" s="2">
        <v>26522</v>
      </c>
      <c r="I919" s="2">
        <v>1262</v>
      </c>
      <c r="J919" s="2">
        <v>79</v>
      </c>
      <c r="K919" s="2">
        <v>132</v>
      </c>
      <c r="L919" s="5">
        <f t="shared" si="44"/>
        <v>5.553879797903627E-2</v>
      </c>
    </row>
    <row r="920" spans="1:12" x14ac:dyDescent="0.25">
      <c r="A920" t="s">
        <v>938</v>
      </c>
      <c r="B920" t="s">
        <v>20</v>
      </c>
      <c r="C920" s="10">
        <v>45678</v>
      </c>
      <c r="D920" s="18" t="str">
        <f t="shared" si="42"/>
        <v>January</v>
      </c>
      <c r="E920" s="11" t="str">
        <f t="shared" si="43"/>
        <v>2025</v>
      </c>
      <c r="F920" t="s">
        <v>24</v>
      </c>
      <c r="G920" s="2">
        <v>47053</v>
      </c>
      <c r="H920" s="2">
        <v>21925</v>
      </c>
      <c r="I920" s="2">
        <v>2027</v>
      </c>
      <c r="J920" s="2">
        <v>225</v>
      </c>
      <c r="K920" s="2">
        <v>1001</v>
      </c>
      <c r="L920" s="5">
        <f t="shared" si="44"/>
        <v>0.14836944127708096</v>
      </c>
    </row>
    <row r="921" spans="1:12" x14ac:dyDescent="0.25">
      <c r="A921" t="s">
        <v>939</v>
      </c>
      <c r="B921" t="s">
        <v>20</v>
      </c>
      <c r="C921" s="10">
        <v>45444</v>
      </c>
      <c r="D921" s="18" t="str">
        <f t="shared" si="42"/>
        <v>June</v>
      </c>
      <c r="E921" s="11" t="str">
        <f t="shared" si="43"/>
        <v>2024</v>
      </c>
      <c r="F921" t="s">
        <v>24</v>
      </c>
      <c r="G921" s="2">
        <v>350053</v>
      </c>
      <c r="H921" s="2">
        <v>177316</v>
      </c>
      <c r="I921" s="2">
        <v>7347</v>
      </c>
      <c r="J921" s="2">
        <v>1039</v>
      </c>
      <c r="K921" s="2">
        <v>5092</v>
      </c>
      <c r="L921" s="5">
        <f t="shared" si="44"/>
        <v>7.601118906359268E-2</v>
      </c>
    </row>
    <row r="922" spans="1:12" x14ac:dyDescent="0.25">
      <c r="A922" t="s">
        <v>940</v>
      </c>
      <c r="B922" t="s">
        <v>20</v>
      </c>
      <c r="C922" s="10">
        <v>45764</v>
      </c>
      <c r="D922" s="18" t="str">
        <f t="shared" si="42"/>
        <v>April</v>
      </c>
      <c r="E922" s="11" t="str">
        <f t="shared" si="43"/>
        <v>2025</v>
      </c>
      <c r="F922" t="s">
        <v>18</v>
      </c>
      <c r="G922" s="2">
        <v>129192</v>
      </c>
      <c r="H922" s="2">
        <v>60725</v>
      </c>
      <c r="I922" s="2">
        <v>2190</v>
      </c>
      <c r="J922" s="2">
        <v>1267</v>
      </c>
      <c r="K922" s="2">
        <v>758</v>
      </c>
      <c r="L922" s="5">
        <f t="shared" si="44"/>
        <v>6.941128036228901E-2</v>
      </c>
    </row>
    <row r="923" spans="1:12" x14ac:dyDescent="0.25">
      <c r="A923" t="s">
        <v>941</v>
      </c>
      <c r="B923" t="s">
        <v>20</v>
      </c>
      <c r="C923" s="10">
        <v>45607</v>
      </c>
      <c r="D923" s="18" t="str">
        <f t="shared" si="42"/>
        <v>November</v>
      </c>
      <c r="E923" s="11" t="str">
        <f t="shared" si="43"/>
        <v>2024</v>
      </c>
      <c r="F923" t="s">
        <v>24</v>
      </c>
      <c r="G923" s="2">
        <v>289201</v>
      </c>
      <c r="H923" s="2">
        <v>117343</v>
      </c>
      <c r="I923" s="2">
        <v>8320</v>
      </c>
      <c r="J923" s="2">
        <v>2383</v>
      </c>
      <c r="K923" s="2">
        <v>1721</v>
      </c>
      <c r="L923" s="5">
        <f t="shared" si="44"/>
        <v>0.10587764076255081</v>
      </c>
    </row>
    <row r="924" spans="1:12" x14ac:dyDescent="0.25">
      <c r="A924" t="s">
        <v>942</v>
      </c>
      <c r="B924" t="s">
        <v>11</v>
      </c>
      <c r="C924" s="10">
        <v>45418</v>
      </c>
      <c r="D924" s="18" t="str">
        <f t="shared" si="42"/>
        <v>May</v>
      </c>
      <c r="E924" s="11" t="str">
        <f t="shared" si="43"/>
        <v>2024</v>
      </c>
      <c r="F924" t="s">
        <v>18</v>
      </c>
      <c r="G924" s="2">
        <v>14173</v>
      </c>
      <c r="H924" s="2">
        <v>9631</v>
      </c>
      <c r="I924" s="2">
        <v>381</v>
      </c>
      <c r="J924" s="2">
        <v>172</v>
      </c>
      <c r="K924" s="2">
        <v>109</v>
      </c>
      <c r="L924" s="5">
        <f t="shared" si="44"/>
        <v>6.8736372131658188E-2</v>
      </c>
    </row>
    <row r="925" spans="1:12" x14ac:dyDescent="0.25">
      <c r="A925" t="s">
        <v>943</v>
      </c>
      <c r="B925" t="s">
        <v>11</v>
      </c>
      <c r="C925" s="10">
        <v>45974</v>
      </c>
      <c r="D925" s="18" t="str">
        <f t="shared" si="42"/>
        <v>November</v>
      </c>
      <c r="E925" s="11" t="str">
        <f t="shared" si="43"/>
        <v>2025</v>
      </c>
      <c r="F925" t="s">
        <v>32</v>
      </c>
      <c r="G925" s="2">
        <v>47814</v>
      </c>
      <c r="H925" s="2">
        <v>18972</v>
      </c>
      <c r="I925" s="2">
        <v>249</v>
      </c>
      <c r="J925" s="2">
        <v>259</v>
      </c>
      <c r="K925" s="2">
        <v>340</v>
      </c>
      <c r="L925" s="5">
        <f t="shared" si="44"/>
        <v>4.4697448872021928E-2</v>
      </c>
    </row>
    <row r="926" spans="1:12" x14ac:dyDescent="0.25">
      <c r="A926" t="s">
        <v>944</v>
      </c>
      <c r="B926" t="s">
        <v>14</v>
      </c>
      <c r="C926" s="10">
        <v>45353</v>
      </c>
      <c r="D926" s="18" t="str">
        <f t="shared" si="42"/>
        <v>March</v>
      </c>
      <c r="E926" s="11" t="str">
        <f t="shared" si="43"/>
        <v>2024</v>
      </c>
      <c r="F926" t="s">
        <v>24</v>
      </c>
      <c r="G926" s="2">
        <v>1353</v>
      </c>
      <c r="H926" s="2">
        <v>957</v>
      </c>
      <c r="I926" s="2">
        <v>72</v>
      </c>
      <c r="J926" s="2">
        <v>12</v>
      </c>
      <c r="K926" s="2">
        <v>8</v>
      </c>
      <c r="L926" s="5">
        <f t="shared" si="44"/>
        <v>9.6133751306165097E-2</v>
      </c>
    </row>
    <row r="927" spans="1:12" x14ac:dyDescent="0.25">
      <c r="A927" t="s">
        <v>945</v>
      </c>
      <c r="B927" t="s">
        <v>26</v>
      </c>
      <c r="C927" s="10">
        <v>45972</v>
      </c>
      <c r="D927" s="18" t="str">
        <f t="shared" si="42"/>
        <v>November</v>
      </c>
      <c r="E927" s="11" t="str">
        <f t="shared" si="43"/>
        <v>2025</v>
      </c>
      <c r="F927" t="s">
        <v>12</v>
      </c>
      <c r="G927" s="2">
        <v>16306</v>
      </c>
      <c r="H927" s="2">
        <v>11783</v>
      </c>
      <c r="I927" s="2">
        <v>533</v>
      </c>
      <c r="J927" s="2">
        <v>293</v>
      </c>
      <c r="K927" s="2">
        <v>166</v>
      </c>
      <c r="L927" s="5">
        <f t="shared" si="44"/>
        <v>8.4189085971314609E-2</v>
      </c>
    </row>
    <row r="928" spans="1:12" x14ac:dyDescent="0.25">
      <c r="A928" t="s">
        <v>946</v>
      </c>
      <c r="B928" t="s">
        <v>14</v>
      </c>
      <c r="C928" s="10">
        <v>45833</v>
      </c>
      <c r="D928" s="18" t="str">
        <f t="shared" si="42"/>
        <v>June</v>
      </c>
      <c r="E928" s="11" t="str">
        <f t="shared" si="43"/>
        <v>2025</v>
      </c>
      <c r="F928" t="s">
        <v>24</v>
      </c>
      <c r="G928" s="2">
        <v>69358</v>
      </c>
      <c r="H928" s="2">
        <v>34743</v>
      </c>
      <c r="I928" s="2">
        <v>749</v>
      </c>
      <c r="J928" s="2">
        <v>342</v>
      </c>
      <c r="K928" s="2">
        <v>49</v>
      </c>
      <c r="L928" s="5">
        <f t="shared" si="44"/>
        <v>3.2812365080735685E-2</v>
      </c>
    </row>
    <row r="929" spans="1:12" x14ac:dyDescent="0.25">
      <c r="A929" t="s">
        <v>947</v>
      </c>
      <c r="B929" t="s">
        <v>11</v>
      </c>
      <c r="C929" s="10">
        <v>45727</v>
      </c>
      <c r="D929" s="18" t="str">
        <f t="shared" si="42"/>
        <v>March</v>
      </c>
      <c r="E929" s="11" t="str">
        <f t="shared" si="43"/>
        <v>2025</v>
      </c>
      <c r="F929" t="s">
        <v>18</v>
      </c>
      <c r="G929" s="2">
        <v>39610</v>
      </c>
      <c r="H929" s="2">
        <v>15900</v>
      </c>
      <c r="I929" s="2">
        <v>721</v>
      </c>
      <c r="J929" s="2">
        <v>100</v>
      </c>
      <c r="K929" s="2">
        <v>172</v>
      </c>
      <c r="L929" s="5">
        <f t="shared" si="44"/>
        <v>6.2452830188679247E-2</v>
      </c>
    </row>
    <row r="930" spans="1:12" x14ac:dyDescent="0.25">
      <c r="A930" t="s">
        <v>948</v>
      </c>
      <c r="B930" t="s">
        <v>14</v>
      </c>
      <c r="C930" s="10">
        <v>45420</v>
      </c>
      <c r="D930" s="18" t="str">
        <f t="shared" si="42"/>
        <v>May</v>
      </c>
      <c r="E930" s="11" t="str">
        <f t="shared" si="43"/>
        <v>2024</v>
      </c>
      <c r="F930" t="s">
        <v>24</v>
      </c>
      <c r="G930" s="2">
        <v>47145</v>
      </c>
      <c r="H930" s="2">
        <v>34797</v>
      </c>
      <c r="I930" s="2">
        <v>806</v>
      </c>
      <c r="J930" s="2">
        <v>193</v>
      </c>
      <c r="K930" s="2">
        <v>185</v>
      </c>
      <c r="L930" s="5">
        <f t="shared" si="44"/>
        <v>3.4025921774865651E-2</v>
      </c>
    </row>
    <row r="931" spans="1:12" x14ac:dyDescent="0.25">
      <c r="A931" t="s">
        <v>949</v>
      </c>
      <c r="B931" t="s">
        <v>26</v>
      </c>
      <c r="C931" s="10">
        <v>45735</v>
      </c>
      <c r="D931" s="18" t="str">
        <f t="shared" si="42"/>
        <v>March</v>
      </c>
      <c r="E931" s="11" t="str">
        <f t="shared" si="43"/>
        <v>2025</v>
      </c>
      <c r="F931" t="s">
        <v>12</v>
      </c>
      <c r="G931" s="2">
        <v>1328</v>
      </c>
      <c r="H931" s="2">
        <v>886</v>
      </c>
      <c r="I931" s="2">
        <v>52</v>
      </c>
      <c r="J931" s="2">
        <v>18</v>
      </c>
      <c r="K931" s="2">
        <v>2</v>
      </c>
      <c r="L931" s="5">
        <f t="shared" si="44"/>
        <v>8.1264108352144468E-2</v>
      </c>
    </row>
    <row r="932" spans="1:12" x14ac:dyDescent="0.25">
      <c r="A932" t="s">
        <v>950</v>
      </c>
      <c r="B932" t="s">
        <v>11</v>
      </c>
      <c r="C932" s="10">
        <v>45690</v>
      </c>
      <c r="D932" s="18" t="str">
        <f t="shared" si="42"/>
        <v>February</v>
      </c>
      <c r="E932" s="11" t="str">
        <f t="shared" si="43"/>
        <v>2025</v>
      </c>
      <c r="F932" t="s">
        <v>32</v>
      </c>
      <c r="G932" s="2">
        <v>44711</v>
      </c>
      <c r="H932" s="2">
        <v>29695</v>
      </c>
      <c r="I932" s="2">
        <v>1326</v>
      </c>
      <c r="J932" s="2">
        <v>363</v>
      </c>
      <c r="K932" s="2">
        <v>565</v>
      </c>
      <c r="L932" s="5">
        <f t="shared" si="44"/>
        <v>7.590503451759556E-2</v>
      </c>
    </row>
    <row r="933" spans="1:12" x14ac:dyDescent="0.25">
      <c r="A933" t="s">
        <v>951</v>
      </c>
      <c r="B933" t="s">
        <v>11</v>
      </c>
      <c r="C933" s="10">
        <v>45972</v>
      </c>
      <c r="D933" s="18" t="str">
        <f t="shared" si="42"/>
        <v>November</v>
      </c>
      <c r="E933" s="11" t="str">
        <f t="shared" si="43"/>
        <v>2025</v>
      </c>
      <c r="F933" t="s">
        <v>32</v>
      </c>
      <c r="G933" s="2">
        <v>9790</v>
      </c>
      <c r="H933" s="2">
        <v>4339</v>
      </c>
      <c r="I933" s="2">
        <v>208</v>
      </c>
      <c r="J933" s="2">
        <v>50</v>
      </c>
      <c r="K933" s="2">
        <v>31</v>
      </c>
      <c r="L933" s="5">
        <f t="shared" si="44"/>
        <v>6.6605208573404004E-2</v>
      </c>
    </row>
    <row r="934" spans="1:12" x14ac:dyDescent="0.25">
      <c r="A934" t="s">
        <v>952</v>
      </c>
      <c r="B934" t="s">
        <v>14</v>
      </c>
      <c r="C934" s="10">
        <v>45940</v>
      </c>
      <c r="D934" s="18" t="str">
        <f t="shared" si="42"/>
        <v>October</v>
      </c>
      <c r="E934" s="11" t="str">
        <f t="shared" si="43"/>
        <v>2025</v>
      </c>
      <c r="F934" t="s">
        <v>24</v>
      </c>
      <c r="G934" s="2">
        <v>82927</v>
      </c>
      <c r="H934" s="2">
        <v>48095</v>
      </c>
      <c r="I934" s="2">
        <v>2222</v>
      </c>
      <c r="J934" s="2">
        <v>323</v>
      </c>
      <c r="K934" s="2">
        <v>426</v>
      </c>
      <c r="L934" s="5">
        <f t="shared" si="44"/>
        <v>6.1773573136500677E-2</v>
      </c>
    </row>
    <row r="935" spans="1:12" x14ac:dyDescent="0.25">
      <c r="A935" t="s">
        <v>953</v>
      </c>
      <c r="B935" t="s">
        <v>14</v>
      </c>
      <c r="C935" s="10">
        <v>45902</v>
      </c>
      <c r="D935" s="18" t="str">
        <f t="shared" si="42"/>
        <v>September</v>
      </c>
      <c r="E935" s="11" t="str">
        <f t="shared" si="43"/>
        <v>2025</v>
      </c>
      <c r="F935" t="s">
        <v>18</v>
      </c>
      <c r="G935" s="2">
        <v>68786</v>
      </c>
      <c r="H935" s="2">
        <v>52234</v>
      </c>
      <c r="I935" s="2">
        <v>2949</v>
      </c>
      <c r="J935" s="2">
        <v>388</v>
      </c>
      <c r="K935" s="2">
        <v>204</v>
      </c>
      <c r="L935" s="5">
        <f t="shared" si="44"/>
        <v>6.7791093923498108E-2</v>
      </c>
    </row>
    <row r="936" spans="1:12" x14ac:dyDescent="0.25">
      <c r="A936" t="s">
        <v>954</v>
      </c>
      <c r="B936" t="s">
        <v>14</v>
      </c>
      <c r="C936" s="10">
        <v>45616</v>
      </c>
      <c r="D936" s="18" t="str">
        <f t="shared" si="42"/>
        <v>November</v>
      </c>
      <c r="E936" s="11" t="str">
        <f t="shared" si="43"/>
        <v>2024</v>
      </c>
      <c r="F936" t="s">
        <v>18</v>
      </c>
      <c r="G936" s="2">
        <v>79894</v>
      </c>
      <c r="H936" s="2">
        <v>44755</v>
      </c>
      <c r="I936" s="2">
        <v>2566</v>
      </c>
      <c r="J936" s="2">
        <v>422</v>
      </c>
      <c r="K936" s="2">
        <v>338</v>
      </c>
      <c r="L936" s="5">
        <f t="shared" si="44"/>
        <v>7.4315718914087808E-2</v>
      </c>
    </row>
    <row r="937" spans="1:12" x14ac:dyDescent="0.25">
      <c r="A937" t="s">
        <v>955</v>
      </c>
      <c r="B937" t="s">
        <v>20</v>
      </c>
      <c r="C937" s="10">
        <v>45446</v>
      </c>
      <c r="D937" s="18" t="str">
        <f t="shared" si="42"/>
        <v>June</v>
      </c>
      <c r="E937" s="11" t="str">
        <f t="shared" si="43"/>
        <v>2024</v>
      </c>
      <c r="F937" t="s">
        <v>18</v>
      </c>
      <c r="G937" s="2">
        <v>373146</v>
      </c>
      <c r="H937" s="2">
        <v>195558</v>
      </c>
      <c r="I937" s="2">
        <v>12870</v>
      </c>
      <c r="J937" s="2">
        <v>1644</v>
      </c>
      <c r="K937" s="2">
        <v>4133</v>
      </c>
      <c r="L937" s="5">
        <f t="shared" si="44"/>
        <v>9.5352785362910239E-2</v>
      </c>
    </row>
    <row r="938" spans="1:12" x14ac:dyDescent="0.25">
      <c r="A938" t="s">
        <v>956</v>
      </c>
      <c r="B938" t="s">
        <v>11</v>
      </c>
      <c r="C938" s="10">
        <v>45745</v>
      </c>
      <c r="D938" s="18" t="str">
        <f t="shared" si="42"/>
        <v>March</v>
      </c>
      <c r="E938" s="11" t="str">
        <f t="shared" si="43"/>
        <v>2025</v>
      </c>
      <c r="F938" t="s">
        <v>12</v>
      </c>
      <c r="G938" s="2">
        <v>28164</v>
      </c>
      <c r="H938" s="2">
        <v>11721</v>
      </c>
      <c r="I938" s="2">
        <v>495</v>
      </c>
      <c r="J938" s="2">
        <v>54</v>
      </c>
      <c r="K938" s="2">
        <v>246</v>
      </c>
      <c r="L938" s="5">
        <f t="shared" si="44"/>
        <v>6.7826977220373688E-2</v>
      </c>
    </row>
    <row r="939" spans="1:12" x14ac:dyDescent="0.25">
      <c r="A939" t="s">
        <v>957</v>
      </c>
      <c r="B939" t="s">
        <v>26</v>
      </c>
      <c r="C939" s="10">
        <v>45374</v>
      </c>
      <c r="D939" s="18" t="str">
        <f t="shared" si="42"/>
        <v>March</v>
      </c>
      <c r="E939" s="11" t="str">
        <f t="shared" si="43"/>
        <v>2024</v>
      </c>
      <c r="F939" t="s">
        <v>12</v>
      </c>
      <c r="G939" s="2">
        <v>4663</v>
      </c>
      <c r="H939" s="2">
        <v>2579</v>
      </c>
      <c r="I939" s="2">
        <v>57</v>
      </c>
      <c r="J939" s="2">
        <v>29</v>
      </c>
      <c r="K939" s="2">
        <v>20</v>
      </c>
      <c r="L939" s="5">
        <f t="shared" si="44"/>
        <v>4.1101202016285379E-2</v>
      </c>
    </row>
    <row r="940" spans="1:12" x14ac:dyDescent="0.25">
      <c r="A940" t="s">
        <v>958</v>
      </c>
      <c r="B940" t="s">
        <v>14</v>
      </c>
      <c r="C940" s="10">
        <v>45352</v>
      </c>
      <c r="D940" s="18" t="str">
        <f t="shared" si="42"/>
        <v>March</v>
      </c>
      <c r="E940" s="11" t="str">
        <f t="shared" si="43"/>
        <v>2024</v>
      </c>
      <c r="F940" t="s">
        <v>18</v>
      </c>
      <c r="G940" s="2">
        <v>23546</v>
      </c>
      <c r="H940" s="2">
        <v>14843</v>
      </c>
      <c r="I940" s="2">
        <v>798</v>
      </c>
      <c r="J940" s="2">
        <v>102</v>
      </c>
      <c r="K940" s="2">
        <v>32</v>
      </c>
      <c r="L940" s="5">
        <f t="shared" si="44"/>
        <v>6.2790540995755581E-2</v>
      </c>
    </row>
    <row r="941" spans="1:12" x14ac:dyDescent="0.25">
      <c r="A941" t="s">
        <v>959</v>
      </c>
      <c r="B941" t="s">
        <v>11</v>
      </c>
      <c r="C941" s="10">
        <v>45450</v>
      </c>
      <c r="D941" s="18" t="str">
        <f t="shared" si="42"/>
        <v>June</v>
      </c>
      <c r="E941" s="11" t="str">
        <f t="shared" si="43"/>
        <v>2024</v>
      </c>
      <c r="F941" t="s">
        <v>15</v>
      </c>
      <c r="G941" s="2">
        <v>9924</v>
      </c>
      <c r="H941" s="2">
        <v>6406</v>
      </c>
      <c r="I941" s="2">
        <v>92</v>
      </c>
      <c r="J941" s="2">
        <v>42</v>
      </c>
      <c r="K941" s="2">
        <v>147</v>
      </c>
      <c r="L941" s="5">
        <f t="shared" si="44"/>
        <v>4.3865126443958791E-2</v>
      </c>
    </row>
    <row r="942" spans="1:12" x14ac:dyDescent="0.25">
      <c r="A942" t="s">
        <v>960</v>
      </c>
      <c r="B942" t="s">
        <v>20</v>
      </c>
      <c r="C942" s="10">
        <v>45974</v>
      </c>
      <c r="D942" s="18" t="str">
        <f t="shared" si="42"/>
        <v>November</v>
      </c>
      <c r="E942" s="11" t="str">
        <f t="shared" si="43"/>
        <v>2025</v>
      </c>
      <c r="F942" t="s">
        <v>18</v>
      </c>
      <c r="G942" s="2">
        <v>39904</v>
      </c>
      <c r="H942" s="2">
        <v>19181</v>
      </c>
      <c r="I942" s="2">
        <v>2144</v>
      </c>
      <c r="J942" s="2">
        <v>430</v>
      </c>
      <c r="K942" s="2">
        <v>436</v>
      </c>
      <c r="L942" s="5">
        <f t="shared" si="44"/>
        <v>0.1569261248110109</v>
      </c>
    </row>
    <row r="943" spans="1:12" x14ac:dyDescent="0.25">
      <c r="A943" t="s">
        <v>961</v>
      </c>
      <c r="B943" t="s">
        <v>11</v>
      </c>
      <c r="C943" s="10">
        <v>45532</v>
      </c>
      <c r="D943" s="18" t="str">
        <f t="shared" si="42"/>
        <v>August</v>
      </c>
      <c r="E943" s="11" t="str">
        <f t="shared" si="43"/>
        <v>2024</v>
      </c>
      <c r="F943" t="s">
        <v>18</v>
      </c>
      <c r="G943" s="2">
        <v>22877</v>
      </c>
      <c r="H943" s="2">
        <v>9782</v>
      </c>
      <c r="I943" s="2">
        <v>128</v>
      </c>
      <c r="J943" s="2">
        <v>195</v>
      </c>
      <c r="K943" s="2">
        <v>169</v>
      </c>
      <c r="L943" s="5">
        <f t="shared" si="44"/>
        <v>5.0296462891024331E-2</v>
      </c>
    </row>
    <row r="944" spans="1:12" x14ac:dyDescent="0.25">
      <c r="A944" t="s">
        <v>962</v>
      </c>
      <c r="B944" t="s">
        <v>20</v>
      </c>
      <c r="C944" s="10">
        <v>45854</v>
      </c>
      <c r="D944" s="18" t="str">
        <f t="shared" si="42"/>
        <v>July</v>
      </c>
      <c r="E944" s="11" t="str">
        <f t="shared" si="43"/>
        <v>2025</v>
      </c>
      <c r="F944" t="s">
        <v>18</v>
      </c>
      <c r="G944" s="2">
        <v>252248</v>
      </c>
      <c r="H944" s="2">
        <v>168800</v>
      </c>
      <c r="I944" s="2">
        <v>9359</v>
      </c>
      <c r="J944" s="2">
        <v>2215</v>
      </c>
      <c r="K944" s="2">
        <v>2569</v>
      </c>
      <c r="L944" s="5">
        <f t="shared" si="44"/>
        <v>8.3785545023696686E-2</v>
      </c>
    </row>
    <row r="945" spans="1:12" x14ac:dyDescent="0.25">
      <c r="A945" t="s">
        <v>963</v>
      </c>
      <c r="B945" t="s">
        <v>17</v>
      </c>
      <c r="C945" s="10">
        <v>45605</v>
      </c>
      <c r="D945" s="18" t="str">
        <f t="shared" si="42"/>
        <v>November</v>
      </c>
      <c r="E945" s="11" t="str">
        <f t="shared" si="43"/>
        <v>2024</v>
      </c>
      <c r="F945" t="s">
        <v>15</v>
      </c>
      <c r="G945" s="2">
        <v>16226</v>
      </c>
      <c r="H945" s="2">
        <v>13962</v>
      </c>
      <c r="I945" s="2">
        <v>281</v>
      </c>
      <c r="J945" s="2">
        <v>89</v>
      </c>
      <c r="K945" s="2">
        <v>44</v>
      </c>
      <c r="L945" s="5">
        <f t="shared" si="44"/>
        <v>2.9651912333476579E-2</v>
      </c>
    </row>
    <row r="946" spans="1:12" x14ac:dyDescent="0.25">
      <c r="A946" t="s">
        <v>964</v>
      </c>
      <c r="B946" t="s">
        <v>26</v>
      </c>
      <c r="C946" s="10">
        <v>45788</v>
      </c>
      <c r="D946" s="18" t="str">
        <f t="shared" si="42"/>
        <v>May</v>
      </c>
      <c r="E946" s="11" t="str">
        <f t="shared" si="43"/>
        <v>2025</v>
      </c>
      <c r="F946" t="s">
        <v>12</v>
      </c>
      <c r="G946" s="2">
        <v>5362</v>
      </c>
      <c r="H946" s="2">
        <v>3547</v>
      </c>
      <c r="I946" s="2">
        <v>98</v>
      </c>
      <c r="J946" s="2">
        <v>26</v>
      </c>
      <c r="K946" s="2">
        <v>27</v>
      </c>
      <c r="L946" s="5">
        <f t="shared" si="44"/>
        <v>4.2571186918522692E-2</v>
      </c>
    </row>
    <row r="947" spans="1:12" x14ac:dyDescent="0.25">
      <c r="A947" t="s">
        <v>965</v>
      </c>
      <c r="B947" t="s">
        <v>11</v>
      </c>
      <c r="C947" s="10">
        <v>45900</v>
      </c>
      <c r="D947" s="18" t="str">
        <f t="shared" si="42"/>
        <v>August</v>
      </c>
      <c r="E947" s="11" t="str">
        <f t="shared" si="43"/>
        <v>2025</v>
      </c>
      <c r="F947" t="s">
        <v>32</v>
      </c>
      <c r="G947" s="2">
        <v>43568</v>
      </c>
      <c r="H947" s="2">
        <v>28301</v>
      </c>
      <c r="I947" s="2">
        <v>1119</v>
      </c>
      <c r="J947" s="2">
        <v>376</v>
      </c>
      <c r="K947" s="2">
        <v>362</v>
      </c>
      <c r="L947" s="5">
        <f t="shared" si="44"/>
        <v>6.5616055969753714E-2</v>
      </c>
    </row>
    <row r="948" spans="1:12" x14ac:dyDescent="0.25">
      <c r="A948" t="s">
        <v>966</v>
      </c>
      <c r="B948" t="s">
        <v>26</v>
      </c>
      <c r="C948" s="10">
        <v>45373</v>
      </c>
      <c r="D948" s="18" t="str">
        <f t="shared" si="42"/>
        <v>March</v>
      </c>
      <c r="E948" s="11" t="str">
        <f t="shared" si="43"/>
        <v>2024</v>
      </c>
      <c r="F948" t="s">
        <v>18</v>
      </c>
      <c r="G948" s="2">
        <v>7280</v>
      </c>
      <c r="H948" s="2">
        <v>3066</v>
      </c>
      <c r="I948" s="2">
        <v>61</v>
      </c>
      <c r="J948" s="2">
        <v>73</v>
      </c>
      <c r="K948" s="2">
        <v>23</v>
      </c>
      <c r="L948" s="5">
        <f t="shared" si="44"/>
        <v>5.1206784083496409E-2</v>
      </c>
    </row>
    <row r="949" spans="1:12" x14ac:dyDescent="0.25">
      <c r="A949" t="s">
        <v>967</v>
      </c>
      <c r="B949" t="s">
        <v>17</v>
      </c>
      <c r="C949" s="10">
        <v>45659</v>
      </c>
      <c r="D949" s="18" t="str">
        <f t="shared" si="42"/>
        <v>January</v>
      </c>
      <c r="E949" s="11" t="str">
        <f t="shared" si="43"/>
        <v>2025</v>
      </c>
      <c r="F949" t="s">
        <v>12</v>
      </c>
      <c r="G949" s="2">
        <v>10413</v>
      </c>
      <c r="H949" s="2">
        <v>8906</v>
      </c>
      <c r="I949" s="2">
        <v>137</v>
      </c>
      <c r="J949" s="2">
        <v>39</v>
      </c>
      <c r="K949" s="2">
        <v>24</v>
      </c>
      <c r="L949" s="5">
        <f t="shared" si="44"/>
        <v>2.2456770716370984E-2</v>
      </c>
    </row>
    <row r="950" spans="1:12" x14ac:dyDescent="0.25">
      <c r="A950" t="s">
        <v>968</v>
      </c>
      <c r="B950" t="s">
        <v>14</v>
      </c>
      <c r="C950" s="10">
        <v>45374</v>
      </c>
      <c r="D950" s="18" t="str">
        <f t="shared" si="42"/>
        <v>March</v>
      </c>
      <c r="E950" s="11" t="str">
        <f t="shared" si="43"/>
        <v>2024</v>
      </c>
      <c r="F950" t="s">
        <v>18</v>
      </c>
      <c r="G950" s="2">
        <v>15038</v>
      </c>
      <c r="H950" s="2">
        <v>8320</v>
      </c>
      <c r="I950" s="2">
        <v>337</v>
      </c>
      <c r="J950" s="2">
        <v>96</v>
      </c>
      <c r="K950" s="2">
        <v>53</v>
      </c>
      <c r="L950" s="5">
        <f t="shared" si="44"/>
        <v>5.8413461538461539E-2</v>
      </c>
    </row>
    <row r="951" spans="1:12" x14ac:dyDescent="0.25">
      <c r="A951" t="s">
        <v>969</v>
      </c>
      <c r="B951" t="s">
        <v>20</v>
      </c>
      <c r="C951" s="10">
        <v>45900</v>
      </c>
      <c r="D951" s="18" t="str">
        <f t="shared" si="42"/>
        <v>August</v>
      </c>
      <c r="E951" s="11" t="str">
        <f t="shared" si="43"/>
        <v>2025</v>
      </c>
      <c r="F951" t="s">
        <v>24</v>
      </c>
      <c r="G951" s="2">
        <v>245722</v>
      </c>
      <c r="H951" s="2">
        <v>96249</v>
      </c>
      <c r="I951" s="2">
        <v>10979</v>
      </c>
      <c r="J951" s="2">
        <v>1999</v>
      </c>
      <c r="K951" s="2">
        <v>4264</v>
      </c>
      <c r="L951" s="5">
        <f t="shared" si="44"/>
        <v>0.17913952352751716</v>
      </c>
    </row>
    <row r="952" spans="1:12" x14ac:dyDescent="0.25">
      <c r="A952" t="s">
        <v>970</v>
      </c>
      <c r="B952" t="s">
        <v>17</v>
      </c>
      <c r="C952" s="10">
        <v>45528</v>
      </c>
      <c r="D952" s="18" t="str">
        <f t="shared" si="42"/>
        <v>August</v>
      </c>
      <c r="E952" s="11" t="str">
        <f t="shared" si="43"/>
        <v>2024</v>
      </c>
      <c r="F952" t="s">
        <v>12</v>
      </c>
      <c r="G952" s="2">
        <v>11451</v>
      </c>
      <c r="H952" s="2">
        <v>5857</v>
      </c>
      <c r="I952" s="2">
        <v>49</v>
      </c>
      <c r="J952" s="2">
        <v>26</v>
      </c>
      <c r="K952" s="2">
        <v>61</v>
      </c>
      <c r="L952" s="5">
        <f t="shared" si="44"/>
        <v>2.322007853850094E-2</v>
      </c>
    </row>
    <row r="953" spans="1:12" x14ac:dyDescent="0.25">
      <c r="A953" t="s">
        <v>971</v>
      </c>
      <c r="B953" t="s">
        <v>11</v>
      </c>
      <c r="C953" s="10">
        <v>45590</v>
      </c>
      <c r="D953" s="18" t="str">
        <f t="shared" si="42"/>
        <v>October</v>
      </c>
      <c r="E953" s="11" t="str">
        <f t="shared" si="43"/>
        <v>2024</v>
      </c>
      <c r="F953" t="s">
        <v>15</v>
      </c>
      <c r="G953" s="2">
        <v>5966</v>
      </c>
      <c r="H953" s="2">
        <v>3019</v>
      </c>
      <c r="I953" s="2">
        <v>50</v>
      </c>
      <c r="J953" s="2">
        <v>58</v>
      </c>
      <c r="K953" s="2">
        <v>27</v>
      </c>
      <c r="L953" s="5">
        <f t="shared" si="44"/>
        <v>4.4716793640278238E-2</v>
      </c>
    </row>
    <row r="954" spans="1:12" x14ac:dyDescent="0.25">
      <c r="A954" t="s">
        <v>972</v>
      </c>
      <c r="B954" t="s">
        <v>26</v>
      </c>
      <c r="C954" s="10">
        <v>45853</v>
      </c>
      <c r="D954" s="18" t="str">
        <f t="shared" si="42"/>
        <v>July</v>
      </c>
      <c r="E954" s="11" t="str">
        <f t="shared" si="43"/>
        <v>2025</v>
      </c>
      <c r="F954" t="s">
        <v>18</v>
      </c>
      <c r="G954" s="2">
        <v>47465</v>
      </c>
      <c r="H954" s="2">
        <v>37269</v>
      </c>
      <c r="I954" s="2">
        <v>1872</v>
      </c>
      <c r="J954" s="2">
        <v>551</v>
      </c>
      <c r="K954" s="2">
        <v>334</v>
      </c>
      <c r="L954" s="5">
        <f t="shared" si="44"/>
        <v>7.3975690251952025E-2</v>
      </c>
    </row>
    <row r="955" spans="1:12" x14ac:dyDescent="0.25">
      <c r="A955" t="s">
        <v>973</v>
      </c>
      <c r="B955" t="s">
        <v>17</v>
      </c>
      <c r="C955" s="10">
        <v>45575</v>
      </c>
      <c r="D955" s="18" t="str">
        <f t="shared" si="42"/>
        <v>October</v>
      </c>
      <c r="E955" s="11" t="str">
        <f t="shared" si="43"/>
        <v>2024</v>
      </c>
      <c r="F955" t="s">
        <v>18</v>
      </c>
      <c r="G955" s="2">
        <v>746</v>
      </c>
      <c r="H955" s="2">
        <v>392</v>
      </c>
      <c r="I955" s="2">
        <v>6</v>
      </c>
      <c r="J955" s="2">
        <v>0</v>
      </c>
      <c r="K955" s="2">
        <v>3</v>
      </c>
      <c r="L955" s="5">
        <f t="shared" si="44"/>
        <v>2.2959183673469389E-2</v>
      </c>
    </row>
    <row r="956" spans="1:12" x14ac:dyDescent="0.25">
      <c r="A956" t="s">
        <v>974</v>
      </c>
      <c r="B956" t="s">
        <v>14</v>
      </c>
      <c r="C956" s="10">
        <v>45403</v>
      </c>
      <c r="D956" s="18" t="str">
        <f t="shared" si="42"/>
        <v>April</v>
      </c>
      <c r="E956" s="11" t="str">
        <f t="shared" si="43"/>
        <v>2024</v>
      </c>
      <c r="F956" t="s">
        <v>24</v>
      </c>
      <c r="G956" s="2">
        <v>49179</v>
      </c>
      <c r="H956" s="2">
        <v>19677</v>
      </c>
      <c r="I956" s="2">
        <v>1531</v>
      </c>
      <c r="J956" s="2">
        <v>57</v>
      </c>
      <c r="K956" s="2">
        <v>42</v>
      </c>
      <c r="L956" s="5">
        <f t="shared" si="44"/>
        <v>8.2837830970168211E-2</v>
      </c>
    </row>
    <row r="957" spans="1:12" x14ac:dyDescent="0.25">
      <c r="A957" t="s">
        <v>975</v>
      </c>
      <c r="B957" t="s">
        <v>11</v>
      </c>
      <c r="C957" s="10">
        <v>45436</v>
      </c>
      <c r="D957" s="18" t="str">
        <f t="shared" si="42"/>
        <v>May</v>
      </c>
      <c r="E957" s="11" t="str">
        <f t="shared" si="43"/>
        <v>2024</v>
      </c>
      <c r="F957" t="s">
        <v>12</v>
      </c>
      <c r="G957" s="2">
        <v>6392</v>
      </c>
      <c r="H957" s="2">
        <v>2878</v>
      </c>
      <c r="I957" s="2">
        <v>100</v>
      </c>
      <c r="J957" s="2">
        <v>41</v>
      </c>
      <c r="K957" s="2">
        <v>60</v>
      </c>
      <c r="L957" s="5">
        <f t="shared" si="44"/>
        <v>6.9840166782487834E-2</v>
      </c>
    </row>
    <row r="958" spans="1:12" x14ac:dyDescent="0.25">
      <c r="A958" t="s">
        <v>976</v>
      </c>
      <c r="B958" t="s">
        <v>26</v>
      </c>
      <c r="C958" s="10">
        <v>45451</v>
      </c>
      <c r="D958" s="18" t="str">
        <f t="shared" si="42"/>
        <v>June</v>
      </c>
      <c r="E958" s="11" t="str">
        <f t="shared" si="43"/>
        <v>2024</v>
      </c>
      <c r="F958" t="s">
        <v>15</v>
      </c>
      <c r="G958" s="2">
        <v>13214</v>
      </c>
      <c r="H958" s="2">
        <v>9289</v>
      </c>
      <c r="I958" s="2">
        <v>463</v>
      </c>
      <c r="J958" s="2">
        <v>159</v>
      </c>
      <c r="K958" s="2">
        <v>137</v>
      </c>
      <c r="L958" s="5">
        <f t="shared" si="44"/>
        <v>8.1709548928840567E-2</v>
      </c>
    </row>
    <row r="959" spans="1:12" x14ac:dyDescent="0.25">
      <c r="A959" t="s">
        <v>977</v>
      </c>
      <c r="B959" t="s">
        <v>20</v>
      </c>
      <c r="C959" s="10">
        <v>45722</v>
      </c>
      <c r="D959" s="18" t="str">
        <f t="shared" si="42"/>
        <v>March</v>
      </c>
      <c r="E959" s="11" t="str">
        <f t="shared" si="43"/>
        <v>2025</v>
      </c>
      <c r="F959" t="s">
        <v>18</v>
      </c>
      <c r="G959" s="2">
        <v>273634</v>
      </c>
      <c r="H959" s="2">
        <v>133368</v>
      </c>
      <c r="I959" s="2">
        <v>9781</v>
      </c>
      <c r="J959" s="2">
        <v>3873</v>
      </c>
      <c r="K959" s="2">
        <v>5187</v>
      </c>
      <c r="L959" s="5">
        <f t="shared" si="44"/>
        <v>0.14127076959990403</v>
      </c>
    </row>
    <row r="960" spans="1:12" x14ac:dyDescent="0.25">
      <c r="A960" t="s">
        <v>978</v>
      </c>
      <c r="B960" t="s">
        <v>17</v>
      </c>
      <c r="C960" s="10">
        <v>45649</v>
      </c>
      <c r="D960" s="18" t="str">
        <f t="shared" si="42"/>
        <v>December</v>
      </c>
      <c r="E960" s="11" t="str">
        <f t="shared" si="43"/>
        <v>2024</v>
      </c>
      <c r="F960" t="s">
        <v>15</v>
      </c>
      <c r="G960" s="2">
        <v>7961</v>
      </c>
      <c r="H960" s="2">
        <v>6392</v>
      </c>
      <c r="I960" s="2">
        <v>73</v>
      </c>
      <c r="J960" s="2">
        <v>7</v>
      </c>
      <c r="K960" s="2">
        <v>101</v>
      </c>
      <c r="L960" s="5">
        <f t="shared" si="44"/>
        <v>2.8316645807259073E-2</v>
      </c>
    </row>
    <row r="961" spans="1:15" x14ac:dyDescent="0.25">
      <c r="A961" t="s">
        <v>979</v>
      </c>
      <c r="B961" t="s">
        <v>14</v>
      </c>
      <c r="C961" s="10">
        <v>45297</v>
      </c>
      <c r="D961" s="18" t="str">
        <f t="shared" si="42"/>
        <v>January</v>
      </c>
      <c r="E961" s="11" t="str">
        <f t="shared" si="43"/>
        <v>2024</v>
      </c>
      <c r="F961" t="s">
        <v>18</v>
      </c>
      <c r="G961" s="2">
        <v>12719</v>
      </c>
      <c r="H961" s="2">
        <v>5518</v>
      </c>
      <c r="I961" s="2">
        <v>325</v>
      </c>
      <c r="J961" s="2">
        <v>40</v>
      </c>
      <c r="K961" s="2">
        <v>21</v>
      </c>
      <c r="L961" s="5">
        <f t="shared" si="44"/>
        <v>6.9952881478796664E-2</v>
      </c>
    </row>
    <row r="962" spans="1:15" x14ac:dyDescent="0.25">
      <c r="A962" t="s">
        <v>980</v>
      </c>
      <c r="B962" t="s">
        <v>14</v>
      </c>
      <c r="C962" s="10">
        <v>45475</v>
      </c>
      <c r="D962" s="18" t="str">
        <f t="shared" si="42"/>
        <v>July</v>
      </c>
      <c r="E962" s="11" t="str">
        <f t="shared" si="43"/>
        <v>2024</v>
      </c>
      <c r="F962" t="s">
        <v>15</v>
      </c>
      <c r="G962" s="2">
        <v>21544</v>
      </c>
      <c r="H962" s="2">
        <v>13950</v>
      </c>
      <c r="I962" s="2">
        <v>297</v>
      </c>
      <c r="J962" s="2">
        <v>111</v>
      </c>
      <c r="K962" s="2">
        <v>107</v>
      </c>
      <c r="L962" s="5">
        <f t="shared" si="44"/>
        <v>3.6917562724014336E-2</v>
      </c>
    </row>
    <row r="963" spans="1:15" x14ac:dyDescent="0.25">
      <c r="A963" t="s">
        <v>981</v>
      </c>
      <c r="B963" t="s">
        <v>14</v>
      </c>
      <c r="C963" s="10">
        <v>45946</v>
      </c>
      <c r="D963" s="18" t="str">
        <f t="shared" ref="D963:D1001" si="45">TEXT($C963,"MMMM")</f>
        <v>October</v>
      </c>
      <c r="E963" s="11" t="str">
        <f t="shared" ref="E963:E1001" si="46">TEXT(C963,"yyyy")</f>
        <v>2025</v>
      </c>
      <c r="F963" t="s">
        <v>18</v>
      </c>
      <c r="G963" s="2">
        <v>99969</v>
      </c>
      <c r="H963" s="2">
        <v>42551</v>
      </c>
      <c r="I963" s="2">
        <v>1344</v>
      </c>
      <c r="J963" s="2">
        <v>311</v>
      </c>
      <c r="K963" s="2">
        <v>284</v>
      </c>
      <c r="L963" s="5">
        <f t="shared" ref="L963:L1001" si="47">SUM(I963:K963)/H963</f>
        <v>4.5568846795609977E-2</v>
      </c>
    </row>
    <row r="964" spans="1:15" x14ac:dyDescent="0.25">
      <c r="A964" t="s">
        <v>982</v>
      </c>
      <c r="B964" t="s">
        <v>20</v>
      </c>
      <c r="C964" s="10">
        <v>45578</v>
      </c>
      <c r="D964" s="18" t="str">
        <f t="shared" si="45"/>
        <v>October</v>
      </c>
      <c r="E964" s="11" t="str">
        <f t="shared" si="46"/>
        <v>2024</v>
      </c>
      <c r="F964" t="s">
        <v>24</v>
      </c>
      <c r="G964" s="2">
        <v>277010</v>
      </c>
      <c r="H964" s="2">
        <v>138818</v>
      </c>
      <c r="I964" s="2">
        <v>5929</v>
      </c>
      <c r="J964" s="2">
        <v>4065</v>
      </c>
      <c r="K964" s="2">
        <v>5079</v>
      </c>
      <c r="L964" s="5">
        <f t="shared" si="47"/>
        <v>0.10858101975248166</v>
      </c>
    </row>
    <row r="965" spans="1:15" x14ac:dyDescent="0.25">
      <c r="A965" t="s">
        <v>983</v>
      </c>
      <c r="B965" t="s">
        <v>11</v>
      </c>
      <c r="C965" s="10">
        <v>45742</v>
      </c>
      <c r="D965" s="18" t="str">
        <f t="shared" si="45"/>
        <v>March</v>
      </c>
      <c r="E965" s="11" t="str">
        <f t="shared" si="46"/>
        <v>2025</v>
      </c>
      <c r="F965" t="s">
        <v>18</v>
      </c>
      <c r="G965" s="2">
        <v>14165</v>
      </c>
      <c r="H965" s="2">
        <v>9162</v>
      </c>
      <c r="I965" s="2">
        <v>147</v>
      </c>
      <c r="J965" s="2">
        <v>94</v>
      </c>
      <c r="K965" s="2">
        <v>176</v>
      </c>
      <c r="L965" s="5">
        <f t="shared" si="47"/>
        <v>4.5514079895219384E-2</v>
      </c>
    </row>
    <row r="966" spans="1:15" x14ac:dyDescent="0.25">
      <c r="A966" t="s">
        <v>984</v>
      </c>
      <c r="B966" t="s">
        <v>14</v>
      </c>
      <c r="C966" s="10">
        <v>45428</v>
      </c>
      <c r="D966" s="18" t="str">
        <f t="shared" si="45"/>
        <v>May</v>
      </c>
      <c r="E966" s="11" t="str">
        <f t="shared" si="46"/>
        <v>2024</v>
      </c>
      <c r="F966" t="s">
        <v>18</v>
      </c>
      <c r="G966" s="2">
        <v>62223</v>
      </c>
      <c r="H966" s="2">
        <v>34365</v>
      </c>
      <c r="I966" s="2">
        <v>2184</v>
      </c>
      <c r="J966" s="2">
        <v>233</v>
      </c>
      <c r="K966" s="2">
        <v>155</v>
      </c>
      <c r="L966" s="5">
        <f t="shared" si="47"/>
        <v>7.4843590862796447E-2</v>
      </c>
    </row>
    <row r="967" spans="1:15" x14ac:dyDescent="0.25">
      <c r="A967" t="s">
        <v>985</v>
      </c>
      <c r="B967" t="s">
        <v>20</v>
      </c>
      <c r="C967" s="10">
        <v>45747</v>
      </c>
      <c r="D967" s="18" t="str">
        <f t="shared" si="45"/>
        <v>March</v>
      </c>
      <c r="E967" s="11" t="str">
        <f t="shared" si="46"/>
        <v>2025</v>
      </c>
      <c r="F967" t="s">
        <v>18</v>
      </c>
      <c r="G967" s="2">
        <v>376541</v>
      </c>
      <c r="H967" s="2">
        <v>148247</v>
      </c>
      <c r="I967" s="2">
        <v>17640</v>
      </c>
      <c r="J967" s="2">
        <v>4413</v>
      </c>
      <c r="K967" s="2">
        <v>5267</v>
      </c>
      <c r="L967" s="5">
        <f t="shared" si="47"/>
        <v>0.18428703447624573</v>
      </c>
    </row>
    <row r="968" spans="1:15" x14ac:dyDescent="0.25">
      <c r="A968" t="s">
        <v>986</v>
      </c>
      <c r="B968" t="s">
        <v>11</v>
      </c>
      <c r="C968" s="10">
        <v>45662</v>
      </c>
      <c r="D968" s="18" t="str">
        <f t="shared" si="45"/>
        <v>January</v>
      </c>
      <c r="E968" s="11" t="str">
        <f t="shared" si="46"/>
        <v>2025</v>
      </c>
      <c r="F968" t="s">
        <v>15</v>
      </c>
      <c r="G968" s="2">
        <v>6165</v>
      </c>
      <c r="H968" s="2">
        <v>2175</v>
      </c>
      <c r="I968" s="2">
        <v>64</v>
      </c>
      <c r="J968" s="2">
        <v>15</v>
      </c>
      <c r="K968" s="2">
        <v>64</v>
      </c>
      <c r="L968" s="5">
        <f t="shared" si="47"/>
        <v>6.5747126436781614E-2</v>
      </c>
      <c r="O968" s="2"/>
    </row>
    <row r="969" spans="1:15" x14ac:dyDescent="0.25">
      <c r="A969" t="s">
        <v>987</v>
      </c>
      <c r="B969" t="s">
        <v>17</v>
      </c>
      <c r="C969" s="10">
        <v>45639</v>
      </c>
      <c r="D969" s="18" t="str">
        <f t="shared" si="45"/>
        <v>December</v>
      </c>
      <c r="E969" s="11" t="str">
        <f t="shared" si="46"/>
        <v>2024</v>
      </c>
      <c r="F969" t="s">
        <v>12</v>
      </c>
      <c r="G969" s="2">
        <v>23521</v>
      </c>
      <c r="H969" s="2">
        <v>20054</v>
      </c>
      <c r="I969" s="2">
        <v>160</v>
      </c>
      <c r="J969" s="2">
        <v>111</v>
      </c>
      <c r="K969" s="2">
        <v>185</v>
      </c>
      <c r="L969" s="5">
        <f t="shared" si="47"/>
        <v>2.2738605764436023E-2</v>
      </c>
    </row>
    <row r="970" spans="1:15" x14ac:dyDescent="0.25">
      <c r="A970" t="s">
        <v>988</v>
      </c>
      <c r="B970" t="s">
        <v>26</v>
      </c>
      <c r="C970" s="10">
        <v>45430</v>
      </c>
      <c r="D970" s="18" t="str">
        <f t="shared" si="45"/>
        <v>May</v>
      </c>
      <c r="E970" s="11" t="str">
        <f t="shared" si="46"/>
        <v>2024</v>
      </c>
      <c r="F970" t="s">
        <v>32</v>
      </c>
      <c r="G970" s="2">
        <v>9282</v>
      </c>
      <c r="H970" s="2">
        <v>5962</v>
      </c>
      <c r="I970" s="2">
        <v>234</v>
      </c>
      <c r="J970" s="2">
        <v>75</v>
      </c>
      <c r="K970" s="2">
        <v>42</v>
      </c>
      <c r="L970" s="5">
        <f t="shared" si="47"/>
        <v>5.8872861455887285E-2</v>
      </c>
    </row>
    <row r="971" spans="1:15" x14ac:dyDescent="0.25">
      <c r="A971" t="s">
        <v>989</v>
      </c>
      <c r="B971" t="s">
        <v>17</v>
      </c>
      <c r="C971" s="10">
        <v>45829</v>
      </c>
      <c r="D971" s="18" t="str">
        <f t="shared" si="45"/>
        <v>June</v>
      </c>
      <c r="E971" s="11" t="str">
        <f t="shared" si="46"/>
        <v>2025</v>
      </c>
      <c r="F971" t="s">
        <v>18</v>
      </c>
      <c r="G971" s="2">
        <v>26423</v>
      </c>
      <c r="H971" s="2">
        <v>15975</v>
      </c>
      <c r="I971" s="2">
        <v>282</v>
      </c>
      <c r="J971" s="2">
        <v>23</v>
      </c>
      <c r="K971" s="2">
        <v>257</v>
      </c>
      <c r="L971" s="5">
        <f t="shared" si="47"/>
        <v>3.5179968701095458E-2</v>
      </c>
    </row>
    <row r="972" spans="1:15" x14ac:dyDescent="0.25">
      <c r="A972" t="s">
        <v>990</v>
      </c>
      <c r="B972" t="s">
        <v>17</v>
      </c>
      <c r="C972" s="10">
        <v>45957</v>
      </c>
      <c r="D972" s="18" t="str">
        <f t="shared" si="45"/>
        <v>October</v>
      </c>
      <c r="E972" s="11" t="str">
        <f t="shared" si="46"/>
        <v>2025</v>
      </c>
      <c r="F972" t="s">
        <v>15</v>
      </c>
      <c r="G972" s="2">
        <v>5462</v>
      </c>
      <c r="H972" s="2">
        <v>3524</v>
      </c>
      <c r="I972" s="2">
        <v>103</v>
      </c>
      <c r="J972" s="2">
        <v>11</v>
      </c>
      <c r="K972" s="2">
        <v>31</v>
      </c>
      <c r="L972" s="5">
        <f t="shared" si="47"/>
        <v>4.1146424517593642E-2</v>
      </c>
    </row>
    <row r="973" spans="1:15" x14ac:dyDescent="0.25">
      <c r="A973" t="s">
        <v>991</v>
      </c>
      <c r="B973" t="s">
        <v>17</v>
      </c>
      <c r="C973" s="10">
        <v>45941</v>
      </c>
      <c r="D973" s="18" t="str">
        <f t="shared" si="45"/>
        <v>October</v>
      </c>
      <c r="E973" s="11" t="str">
        <f t="shared" si="46"/>
        <v>2025</v>
      </c>
      <c r="F973" t="s">
        <v>12</v>
      </c>
      <c r="G973" s="2">
        <v>9373</v>
      </c>
      <c r="H973" s="2">
        <v>6591</v>
      </c>
      <c r="I973" s="2">
        <v>156</v>
      </c>
      <c r="J973" s="2">
        <v>10</v>
      </c>
      <c r="K973" s="2">
        <v>98</v>
      </c>
      <c r="L973" s="5">
        <f t="shared" si="47"/>
        <v>4.0054619936276743E-2</v>
      </c>
    </row>
    <row r="974" spans="1:15" x14ac:dyDescent="0.25">
      <c r="A974" t="s">
        <v>992</v>
      </c>
      <c r="B974" t="s">
        <v>26</v>
      </c>
      <c r="C974" s="10">
        <v>45652</v>
      </c>
      <c r="D974" s="18" t="str">
        <f t="shared" si="45"/>
        <v>December</v>
      </c>
      <c r="E974" s="11" t="str">
        <f t="shared" si="46"/>
        <v>2024</v>
      </c>
      <c r="F974" t="s">
        <v>18</v>
      </c>
      <c r="G974" s="2">
        <v>11118</v>
      </c>
      <c r="H974" s="2">
        <v>5229</v>
      </c>
      <c r="I974" s="2">
        <v>196</v>
      </c>
      <c r="J974" s="2">
        <v>30</v>
      </c>
      <c r="K974" s="2">
        <v>69</v>
      </c>
      <c r="L974" s="5">
        <f t="shared" si="47"/>
        <v>5.6416140753490149E-2</v>
      </c>
    </row>
    <row r="975" spans="1:15" x14ac:dyDescent="0.25">
      <c r="A975" t="s">
        <v>993</v>
      </c>
      <c r="B975" t="s">
        <v>14</v>
      </c>
      <c r="C975" s="10">
        <v>45760</v>
      </c>
      <c r="D975" s="18" t="str">
        <f t="shared" si="45"/>
        <v>April</v>
      </c>
      <c r="E975" s="11" t="str">
        <f t="shared" si="46"/>
        <v>2025</v>
      </c>
      <c r="F975" t="s">
        <v>32</v>
      </c>
      <c r="G975" s="2">
        <v>20217</v>
      </c>
      <c r="H975" s="2">
        <v>8590</v>
      </c>
      <c r="I975" s="2">
        <v>355</v>
      </c>
      <c r="J975" s="2">
        <v>91</v>
      </c>
      <c r="K975" s="2">
        <v>84</v>
      </c>
      <c r="L975" s="5">
        <f t="shared" si="47"/>
        <v>6.1699650756693827E-2</v>
      </c>
    </row>
    <row r="976" spans="1:15" x14ac:dyDescent="0.25">
      <c r="A976" t="s">
        <v>994</v>
      </c>
      <c r="B976" t="s">
        <v>26</v>
      </c>
      <c r="C976" s="10">
        <v>45916</v>
      </c>
      <c r="D976" s="18" t="str">
        <f t="shared" si="45"/>
        <v>September</v>
      </c>
      <c r="E976" s="11" t="str">
        <f t="shared" si="46"/>
        <v>2025</v>
      </c>
      <c r="F976" t="s">
        <v>32</v>
      </c>
      <c r="G976" s="2">
        <v>27250</v>
      </c>
      <c r="H976" s="2">
        <v>16118</v>
      </c>
      <c r="I976" s="2">
        <v>527</v>
      </c>
      <c r="J976" s="2">
        <v>269</v>
      </c>
      <c r="K976" s="2">
        <v>143</v>
      </c>
      <c r="L976" s="5">
        <f t="shared" si="47"/>
        <v>5.8257848368283904E-2</v>
      </c>
    </row>
    <row r="977" spans="1:12" x14ac:dyDescent="0.25">
      <c r="A977" t="s">
        <v>995</v>
      </c>
      <c r="B977" t="s">
        <v>26</v>
      </c>
      <c r="C977" s="10">
        <v>45517</v>
      </c>
      <c r="D977" s="18" t="str">
        <f t="shared" si="45"/>
        <v>August</v>
      </c>
      <c r="E977" s="11" t="str">
        <f t="shared" si="46"/>
        <v>2024</v>
      </c>
      <c r="F977" t="s">
        <v>12</v>
      </c>
      <c r="G977" s="2">
        <v>11600</v>
      </c>
      <c r="H977" s="2">
        <v>4905</v>
      </c>
      <c r="I977" s="2">
        <v>284</v>
      </c>
      <c r="J977" s="2">
        <v>73</v>
      </c>
      <c r="K977" s="2">
        <v>34</v>
      </c>
      <c r="L977" s="5">
        <f t="shared" si="47"/>
        <v>7.9714576962283387E-2</v>
      </c>
    </row>
    <row r="978" spans="1:12" x14ac:dyDescent="0.25">
      <c r="A978" t="s">
        <v>996</v>
      </c>
      <c r="B978" t="s">
        <v>20</v>
      </c>
      <c r="C978" s="10">
        <v>45517</v>
      </c>
      <c r="D978" s="18" t="str">
        <f t="shared" si="45"/>
        <v>August</v>
      </c>
      <c r="E978" s="11" t="str">
        <f t="shared" si="46"/>
        <v>2024</v>
      </c>
      <c r="F978" t="s">
        <v>18</v>
      </c>
      <c r="G978" s="2">
        <v>422218</v>
      </c>
      <c r="H978" s="2">
        <v>218271</v>
      </c>
      <c r="I978" s="2">
        <v>13194</v>
      </c>
      <c r="J978" s="2">
        <v>5257</v>
      </c>
      <c r="K978" s="2">
        <v>9736</v>
      </c>
      <c r="L978" s="5">
        <f t="shared" si="47"/>
        <v>0.12913763165972575</v>
      </c>
    </row>
    <row r="979" spans="1:12" x14ac:dyDescent="0.25">
      <c r="A979" t="s">
        <v>997</v>
      </c>
      <c r="B979" t="s">
        <v>11</v>
      </c>
      <c r="C979" s="10">
        <v>45831</v>
      </c>
      <c r="D979" s="18" t="str">
        <f t="shared" si="45"/>
        <v>June</v>
      </c>
      <c r="E979" s="11" t="str">
        <f t="shared" si="46"/>
        <v>2025</v>
      </c>
      <c r="F979" t="s">
        <v>12</v>
      </c>
      <c r="G979" s="2">
        <v>7766</v>
      </c>
      <c r="H979" s="2">
        <v>2559</v>
      </c>
      <c r="I979" s="2">
        <v>118</v>
      </c>
      <c r="J979" s="2">
        <v>48</v>
      </c>
      <c r="K979" s="2">
        <v>75</v>
      </c>
      <c r="L979" s="5">
        <f t="shared" si="47"/>
        <v>9.4177413051973427E-2</v>
      </c>
    </row>
    <row r="980" spans="1:12" x14ac:dyDescent="0.25">
      <c r="A980" t="s">
        <v>998</v>
      </c>
      <c r="B980" t="s">
        <v>14</v>
      </c>
      <c r="C980" s="10">
        <v>45644</v>
      </c>
      <c r="D980" s="18" t="str">
        <f t="shared" si="45"/>
        <v>December</v>
      </c>
      <c r="E980" s="11" t="str">
        <f t="shared" si="46"/>
        <v>2024</v>
      </c>
      <c r="F980" t="s">
        <v>32</v>
      </c>
      <c r="G980" s="2">
        <v>40881</v>
      </c>
      <c r="H980" s="2">
        <v>28847</v>
      </c>
      <c r="I980" s="2">
        <v>866</v>
      </c>
      <c r="J980" s="2">
        <v>207</v>
      </c>
      <c r="K980" s="2">
        <v>178</v>
      </c>
      <c r="L980" s="5">
        <f t="shared" si="47"/>
        <v>4.3366727909314659E-2</v>
      </c>
    </row>
    <row r="981" spans="1:12" x14ac:dyDescent="0.25">
      <c r="A981" t="s">
        <v>999</v>
      </c>
      <c r="B981" t="s">
        <v>26</v>
      </c>
      <c r="C981" s="10">
        <v>45472</v>
      </c>
      <c r="D981" s="18" t="str">
        <f t="shared" si="45"/>
        <v>June</v>
      </c>
      <c r="E981" s="11" t="str">
        <f t="shared" si="46"/>
        <v>2024</v>
      </c>
      <c r="F981" t="s">
        <v>15</v>
      </c>
      <c r="G981" s="2">
        <v>14948</v>
      </c>
      <c r="H981" s="2">
        <v>8117</v>
      </c>
      <c r="I981" s="2">
        <v>414</v>
      </c>
      <c r="J981" s="2">
        <v>163</v>
      </c>
      <c r="K981" s="2">
        <v>36</v>
      </c>
      <c r="L981" s="5">
        <f t="shared" si="47"/>
        <v>7.5520512504619927E-2</v>
      </c>
    </row>
    <row r="982" spans="1:12" x14ac:dyDescent="0.25">
      <c r="A982" t="s">
        <v>1000</v>
      </c>
      <c r="B982" t="s">
        <v>20</v>
      </c>
      <c r="C982" s="10">
        <v>45397</v>
      </c>
      <c r="D982" s="18" t="str">
        <f t="shared" si="45"/>
        <v>April</v>
      </c>
      <c r="E982" s="11" t="str">
        <f t="shared" si="46"/>
        <v>2024</v>
      </c>
      <c r="F982" t="s">
        <v>18</v>
      </c>
      <c r="G982" s="2">
        <v>423592</v>
      </c>
      <c r="H982" s="2">
        <v>184173</v>
      </c>
      <c r="I982" s="2">
        <v>11210</v>
      </c>
      <c r="J982" s="2">
        <v>4113</v>
      </c>
      <c r="K982" s="2">
        <v>2791</v>
      </c>
      <c r="L982" s="5">
        <f t="shared" si="47"/>
        <v>9.8353178804710784E-2</v>
      </c>
    </row>
    <row r="983" spans="1:12" x14ac:dyDescent="0.25">
      <c r="A983" t="s">
        <v>1001</v>
      </c>
      <c r="B983" t="s">
        <v>11</v>
      </c>
      <c r="C983" s="10">
        <v>45672</v>
      </c>
      <c r="D983" s="18" t="str">
        <f t="shared" si="45"/>
        <v>January</v>
      </c>
      <c r="E983" s="11" t="str">
        <f t="shared" si="46"/>
        <v>2025</v>
      </c>
      <c r="F983" t="s">
        <v>12</v>
      </c>
      <c r="G983" s="2">
        <v>25434</v>
      </c>
      <c r="H983" s="2">
        <v>17008</v>
      </c>
      <c r="I983" s="2">
        <v>433</v>
      </c>
      <c r="J983" s="2">
        <v>75</v>
      </c>
      <c r="K983" s="2">
        <v>442</v>
      </c>
      <c r="L983" s="5">
        <f t="shared" si="47"/>
        <v>5.585606773283161E-2</v>
      </c>
    </row>
    <row r="984" spans="1:12" x14ac:dyDescent="0.25">
      <c r="A984" t="s">
        <v>1002</v>
      </c>
      <c r="B984" t="s">
        <v>26</v>
      </c>
      <c r="C984" s="10">
        <v>45403</v>
      </c>
      <c r="D984" s="18" t="str">
        <f t="shared" si="45"/>
        <v>April</v>
      </c>
      <c r="E984" s="11" t="str">
        <f t="shared" si="46"/>
        <v>2024</v>
      </c>
      <c r="F984" t="s">
        <v>32</v>
      </c>
      <c r="G984" s="2">
        <v>4418</v>
      </c>
      <c r="H984" s="2">
        <v>2307</v>
      </c>
      <c r="I984" s="2">
        <v>116</v>
      </c>
      <c r="J984" s="2">
        <v>22</v>
      </c>
      <c r="K984" s="2">
        <v>14</v>
      </c>
      <c r="L984" s="5">
        <f t="shared" si="47"/>
        <v>6.5886432596445596E-2</v>
      </c>
    </row>
    <row r="985" spans="1:12" x14ac:dyDescent="0.25">
      <c r="A985" t="s">
        <v>1003</v>
      </c>
      <c r="B985" t="s">
        <v>11</v>
      </c>
      <c r="C985" s="10">
        <v>45418</v>
      </c>
      <c r="D985" s="18" t="str">
        <f t="shared" si="45"/>
        <v>May</v>
      </c>
      <c r="E985" s="11" t="str">
        <f t="shared" si="46"/>
        <v>2024</v>
      </c>
      <c r="F985" t="s">
        <v>32</v>
      </c>
      <c r="G985" s="2">
        <v>2777</v>
      </c>
      <c r="H985" s="2">
        <v>1342</v>
      </c>
      <c r="I985" s="2">
        <v>66</v>
      </c>
      <c r="J985" s="2">
        <v>5</v>
      </c>
      <c r="K985" s="2">
        <v>25</v>
      </c>
      <c r="L985" s="5">
        <f t="shared" si="47"/>
        <v>7.1535022354694486E-2</v>
      </c>
    </row>
    <row r="986" spans="1:12" x14ac:dyDescent="0.25">
      <c r="A986" t="s">
        <v>1004</v>
      </c>
      <c r="B986" t="s">
        <v>26</v>
      </c>
      <c r="C986" s="10">
        <v>45372</v>
      </c>
      <c r="D986" s="18" t="str">
        <f t="shared" si="45"/>
        <v>March</v>
      </c>
      <c r="E986" s="11" t="str">
        <f t="shared" si="46"/>
        <v>2024</v>
      </c>
      <c r="F986" t="s">
        <v>12</v>
      </c>
      <c r="G986" s="2">
        <v>11582</v>
      </c>
      <c r="H986" s="2">
        <v>5633</v>
      </c>
      <c r="I986" s="2">
        <v>93</v>
      </c>
      <c r="J986" s="2">
        <v>73</v>
      </c>
      <c r="K986" s="2">
        <v>32</v>
      </c>
      <c r="L986" s="5">
        <f t="shared" si="47"/>
        <v>3.515000887626487E-2</v>
      </c>
    </row>
    <row r="987" spans="1:12" x14ac:dyDescent="0.25">
      <c r="A987" t="s">
        <v>1005</v>
      </c>
      <c r="B987" t="s">
        <v>11</v>
      </c>
      <c r="C987" s="10">
        <v>45716</v>
      </c>
      <c r="D987" s="18" t="str">
        <f t="shared" si="45"/>
        <v>February</v>
      </c>
      <c r="E987" s="11" t="str">
        <f t="shared" si="46"/>
        <v>2025</v>
      </c>
      <c r="F987" t="s">
        <v>12</v>
      </c>
      <c r="G987" s="2">
        <v>5501</v>
      </c>
      <c r="H987" s="2">
        <v>3359</v>
      </c>
      <c r="I987" s="2">
        <v>75</v>
      </c>
      <c r="J987" s="2">
        <v>27</v>
      </c>
      <c r="K987" s="2">
        <v>56</v>
      </c>
      <c r="L987" s="5">
        <f t="shared" si="47"/>
        <v>4.7037808871688E-2</v>
      </c>
    </row>
    <row r="988" spans="1:12" x14ac:dyDescent="0.25">
      <c r="A988" t="s">
        <v>1006</v>
      </c>
      <c r="B988" t="s">
        <v>17</v>
      </c>
      <c r="C988" s="10">
        <v>45419</v>
      </c>
      <c r="D988" s="18" t="str">
        <f t="shared" si="45"/>
        <v>May</v>
      </c>
      <c r="E988" s="11" t="str">
        <f t="shared" si="46"/>
        <v>2024</v>
      </c>
      <c r="F988" t="s">
        <v>12</v>
      </c>
      <c r="G988" s="2">
        <v>4273</v>
      </c>
      <c r="H988" s="2">
        <v>2786</v>
      </c>
      <c r="I988" s="2">
        <v>65</v>
      </c>
      <c r="J988" s="2">
        <v>21</v>
      </c>
      <c r="K988" s="2">
        <v>50</v>
      </c>
      <c r="L988" s="5">
        <f t="shared" si="47"/>
        <v>4.8815506101938265E-2</v>
      </c>
    </row>
    <row r="989" spans="1:12" x14ac:dyDescent="0.25">
      <c r="A989" t="s">
        <v>1007</v>
      </c>
      <c r="B989" t="s">
        <v>26</v>
      </c>
      <c r="C989" s="10">
        <v>45403</v>
      </c>
      <c r="D989" s="18" t="str">
        <f t="shared" si="45"/>
        <v>April</v>
      </c>
      <c r="E989" s="11" t="str">
        <f t="shared" si="46"/>
        <v>2024</v>
      </c>
      <c r="F989" t="s">
        <v>18</v>
      </c>
      <c r="G989" s="2">
        <v>22423</v>
      </c>
      <c r="H989" s="2">
        <v>17363</v>
      </c>
      <c r="I989" s="2">
        <v>539</v>
      </c>
      <c r="J989" s="2">
        <v>246</v>
      </c>
      <c r="K989" s="2">
        <v>144</v>
      </c>
      <c r="L989" s="5">
        <f t="shared" si="47"/>
        <v>5.3504578701837238E-2</v>
      </c>
    </row>
    <row r="990" spans="1:12" x14ac:dyDescent="0.25">
      <c r="A990" t="s">
        <v>1008</v>
      </c>
      <c r="B990" t="s">
        <v>11</v>
      </c>
      <c r="C990" s="10">
        <v>45529</v>
      </c>
      <c r="D990" s="18" t="str">
        <f t="shared" si="45"/>
        <v>August</v>
      </c>
      <c r="E990" s="11" t="str">
        <f t="shared" si="46"/>
        <v>2024</v>
      </c>
      <c r="F990" t="s">
        <v>32</v>
      </c>
      <c r="G990" s="2">
        <v>20903</v>
      </c>
      <c r="H990" s="2">
        <v>10809</v>
      </c>
      <c r="I990" s="2">
        <v>304</v>
      </c>
      <c r="J990" s="2">
        <v>127</v>
      </c>
      <c r="K990" s="2">
        <v>200</v>
      </c>
      <c r="L990" s="5">
        <f t="shared" si="47"/>
        <v>5.8377278194097514E-2</v>
      </c>
    </row>
    <row r="991" spans="1:12" x14ac:dyDescent="0.25">
      <c r="A991" t="s">
        <v>1009</v>
      </c>
      <c r="B991" t="s">
        <v>14</v>
      </c>
      <c r="C991" s="10">
        <v>45793</v>
      </c>
      <c r="D991" s="18" t="str">
        <f t="shared" si="45"/>
        <v>May</v>
      </c>
      <c r="E991" s="11" t="str">
        <f t="shared" si="46"/>
        <v>2025</v>
      </c>
      <c r="F991" t="s">
        <v>24</v>
      </c>
      <c r="G991" s="2">
        <v>96470</v>
      </c>
      <c r="H991" s="2">
        <v>57260</v>
      </c>
      <c r="I991" s="2">
        <v>1230</v>
      </c>
      <c r="J991" s="2">
        <v>539</v>
      </c>
      <c r="K991" s="2">
        <v>144</v>
      </c>
      <c r="L991" s="5">
        <f t="shared" si="47"/>
        <v>3.3409011526370942E-2</v>
      </c>
    </row>
    <row r="992" spans="1:12" x14ac:dyDescent="0.25">
      <c r="A992" t="s">
        <v>1010</v>
      </c>
      <c r="B992" t="s">
        <v>17</v>
      </c>
      <c r="C992" s="10">
        <v>45825</v>
      </c>
      <c r="D992" s="18" t="str">
        <f t="shared" si="45"/>
        <v>June</v>
      </c>
      <c r="E992" s="11" t="str">
        <f t="shared" si="46"/>
        <v>2025</v>
      </c>
      <c r="F992" t="s">
        <v>15</v>
      </c>
      <c r="G992" s="2">
        <v>14054</v>
      </c>
      <c r="H992" s="2">
        <v>9988</v>
      </c>
      <c r="I992" s="2">
        <v>217</v>
      </c>
      <c r="J992" s="2">
        <v>41</v>
      </c>
      <c r="K992" s="2">
        <v>62</v>
      </c>
      <c r="L992" s="5">
        <f t="shared" si="47"/>
        <v>3.2038446135362435E-2</v>
      </c>
    </row>
    <row r="993" spans="1:12" x14ac:dyDescent="0.25">
      <c r="A993" t="s">
        <v>1011</v>
      </c>
      <c r="B993" t="s">
        <v>17</v>
      </c>
      <c r="C993" s="10">
        <v>45316</v>
      </c>
      <c r="D993" s="18" t="str">
        <f t="shared" si="45"/>
        <v>January</v>
      </c>
      <c r="E993" s="11" t="str">
        <f t="shared" si="46"/>
        <v>2024</v>
      </c>
      <c r="F993" t="s">
        <v>12</v>
      </c>
      <c r="G993" s="2">
        <v>3747</v>
      </c>
      <c r="H993" s="2">
        <v>1978</v>
      </c>
      <c r="I993" s="2">
        <v>26</v>
      </c>
      <c r="J993" s="2">
        <v>4</v>
      </c>
      <c r="K993" s="2">
        <v>23</v>
      </c>
      <c r="L993" s="5">
        <f t="shared" si="47"/>
        <v>2.6794742163801819E-2</v>
      </c>
    </row>
    <row r="994" spans="1:12" x14ac:dyDescent="0.25">
      <c r="A994" t="s">
        <v>1012</v>
      </c>
      <c r="B994" t="s">
        <v>11</v>
      </c>
      <c r="C994" s="10">
        <v>45544</v>
      </c>
      <c r="D994" s="18" t="str">
        <f t="shared" si="45"/>
        <v>September</v>
      </c>
      <c r="E994" s="11" t="str">
        <f t="shared" si="46"/>
        <v>2024</v>
      </c>
      <c r="F994" t="s">
        <v>12</v>
      </c>
      <c r="G994" s="2">
        <v>10380</v>
      </c>
      <c r="H994" s="2">
        <v>4344</v>
      </c>
      <c r="I994" s="2">
        <v>131</v>
      </c>
      <c r="J994" s="2">
        <v>71</v>
      </c>
      <c r="K994" s="2">
        <v>37</v>
      </c>
      <c r="L994" s="5">
        <f t="shared" si="47"/>
        <v>5.5018416206261508E-2</v>
      </c>
    </row>
    <row r="995" spans="1:12" x14ac:dyDescent="0.25">
      <c r="A995" t="s">
        <v>1013</v>
      </c>
      <c r="B995" t="s">
        <v>17</v>
      </c>
      <c r="C995" s="10">
        <v>45954</v>
      </c>
      <c r="D995" s="18" t="str">
        <f t="shared" si="45"/>
        <v>October</v>
      </c>
      <c r="E995" s="11" t="str">
        <f t="shared" si="46"/>
        <v>2025</v>
      </c>
      <c r="F995" t="s">
        <v>12</v>
      </c>
      <c r="G995" s="2">
        <v>22714</v>
      </c>
      <c r="H995" s="2">
        <v>14395</v>
      </c>
      <c r="I995" s="2">
        <v>298</v>
      </c>
      <c r="J995" s="2">
        <v>92</v>
      </c>
      <c r="K995" s="2">
        <v>119</v>
      </c>
      <c r="L995" s="5">
        <f t="shared" si="47"/>
        <v>3.5359499826328585E-2</v>
      </c>
    </row>
    <row r="996" spans="1:12" x14ac:dyDescent="0.25">
      <c r="A996" t="s">
        <v>1014</v>
      </c>
      <c r="B996" t="s">
        <v>11</v>
      </c>
      <c r="C996" s="10">
        <v>45423</v>
      </c>
      <c r="D996" s="18" t="str">
        <f t="shared" si="45"/>
        <v>May</v>
      </c>
      <c r="E996" s="11" t="str">
        <f t="shared" si="46"/>
        <v>2024</v>
      </c>
      <c r="F996" t="s">
        <v>32</v>
      </c>
      <c r="G996" s="2">
        <v>26648</v>
      </c>
      <c r="H996" s="2">
        <v>9105</v>
      </c>
      <c r="I996" s="2">
        <v>204</v>
      </c>
      <c r="J996" s="2">
        <v>127</v>
      </c>
      <c r="K996" s="2">
        <v>107</v>
      </c>
      <c r="L996" s="5">
        <f t="shared" si="47"/>
        <v>4.8105436573311365E-2</v>
      </c>
    </row>
    <row r="997" spans="1:12" x14ac:dyDescent="0.25">
      <c r="A997" t="s">
        <v>1015</v>
      </c>
      <c r="B997" t="s">
        <v>14</v>
      </c>
      <c r="C997" s="10">
        <v>45739</v>
      </c>
      <c r="D997" s="18" t="str">
        <f t="shared" si="45"/>
        <v>March</v>
      </c>
      <c r="E997" s="11" t="str">
        <f t="shared" si="46"/>
        <v>2025</v>
      </c>
      <c r="F997" t="s">
        <v>15</v>
      </c>
      <c r="G997" s="2">
        <v>2934</v>
      </c>
      <c r="H997" s="2">
        <v>1462</v>
      </c>
      <c r="I997" s="2">
        <v>116</v>
      </c>
      <c r="J997" s="2">
        <v>19</v>
      </c>
      <c r="K997" s="2">
        <v>1</v>
      </c>
      <c r="L997" s="5">
        <f t="shared" si="47"/>
        <v>9.3023255813953487E-2</v>
      </c>
    </row>
    <row r="998" spans="1:12" x14ac:dyDescent="0.25">
      <c r="A998" t="s">
        <v>1016</v>
      </c>
      <c r="B998" t="s">
        <v>14</v>
      </c>
      <c r="C998" s="10">
        <v>45804</v>
      </c>
      <c r="D998" s="18" t="str">
        <f t="shared" si="45"/>
        <v>May</v>
      </c>
      <c r="E998" s="11" t="str">
        <f t="shared" si="46"/>
        <v>2025</v>
      </c>
      <c r="F998" t="s">
        <v>32</v>
      </c>
      <c r="G998" s="2">
        <v>84023</v>
      </c>
      <c r="H998" s="2">
        <v>35548</v>
      </c>
      <c r="I998" s="2">
        <v>2015</v>
      </c>
      <c r="J998" s="2">
        <v>347</v>
      </c>
      <c r="K998" s="2">
        <v>74</v>
      </c>
      <c r="L998" s="5">
        <f t="shared" si="47"/>
        <v>6.852706200067514E-2</v>
      </c>
    </row>
    <row r="999" spans="1:12" x14ac:dyDescent="0.25">
      <c r="A999" t="s">
        <v>1017</v>
      </c>
      <c r="B999" t="s">
        <v>11</v>
      </c>
      <c r="C999" s="10">
        <v>45906</v>
      </c>
      <c r="D999" s="18" t="str">
        <f t="shared" si="45"/>
        <v>September</v>
      </c>
      <c r="E999" s="11" t="str">
        <f t="shared" si="46"/>
        <v>2025</v>
      </c>
      <c r="F999" t="s">
        <v>12</v>
      </c>
      <c r="G999" s="2">
        <v>10873</v>
      </c>
      <c r="H999" s="2">
        <v>4156</v>
      </c>
      <c r="I999" s="2">
        <v>61</v>
      </c>
      <c r="J999" s="2">
        <v>16</v>
      </c>
      <c r="K999" s="2">
        <v>22</v>
      </c>
      <c r="L999" s="5">
        <f t="shared" si="47"/>
        <v>2.3820981713185755E-2</v>
      </c>
    </row>
    <row r="1000" spans="1:12" x14ac:dyDescent="0.25">
      <c r="A1000" t="s">
        <v>1018</v>
      </c>
      <c r="B1000" t="s">
        <v>11</v>
      </c>
      <c r="C1000" s="10">
        <v>45599</v>
      </c>
      <c r="D1000" s="18" t="str">
        <f t="shared" si="45"/>
        <v>November</v>
      </c>
      <c r="E1000" s="11" t="str">
        <f t="shared" si="46"/>
        <v>2024</v>
      </c>
      <c r="F1000" t="s">
        <v>18</v>
      </c>
      <c r="G1000" s="2">
        <v>2959</v>
      </c>
      <c r="H1000" s="2">
        <v>1258</v>
      </c>
      <c r="I1000" s="2">
        <v>17</v>
      </c>
      <c r="J1000" s="2">
        <v>10</v>
      </c>
      <c r="K1000" s="2">
        <v>28</v>
      </c>
      <c r="L1000" s="5">
        <f t="shared" si="47"/>
        <v>4.372019077901431E-2</v>
      </c>
    </row>
    <row r="1001" spans="1:12" x14ac:dyDescent="0.25">
      <c r="A1001" t="s">
        <v>1019</v>
      </c>
      <c r="B1001" t="s">
        <v>20</v>
      </c>
      <c r="C1001" s="10">
        <v>45717</v>
      </c>
      <c r="D1001" s="18" t="str">
        <f t="shared" si="45"/>
        <v>March</v>
      </c>
      <c r="E1001" s="11" t="str">
        <f t="shared" si="46"/>
        <v>2025</v>
      </c>
      <c r="F1001" t="s">
        <v>24</v>
      </c>
      <c r="G1001" s="2">
        <v>132006</v>
      </c>
      <c r="H1001" s="2">
        <v>59268</v>
      </c>
      <c r="I1001" s="2">
        <v>4064</v>
      </c>
      <c r="J1001" s="2">
        <v>1000</v>
      </c>
      <c r="K1001" s="2">
        <v>2514</v>
      </c>
      <c r="L1001" s="5">
        <f t="shared" si="47"/>
        <v>0.12785989066612674</v>
      </c>
    </row>
  </sheetData>
  <autoFilter ref="A1:L1001" xr:uid="{74C8938A-A841-44E8-8EED-A8FBF08E1B5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545D-D512-4DA5-8C6B-0466670734D3}">
  <dimension ref="A1:T1001"/>
  <sheetViews>
    <sheetView zoomScaleNormal="100" workbookViewId="0">
      <selection activeCell="A125" sqref="A125"/>
    </sheetView>
  </sheetViews>
  <sheetFormatPr defaultRowHeight="15" x14ac:dyDescent="0.25"/>
  <cols>
    <col min="1" max="1" width="19.7109375" bestFit="1" customWidth="1"/>
    <col min="2" max="4" width="29.140625" bestFit="1" customWidth="1"/>
    <col min="5" max="5" width="21.42578125" bestFit="1" customWidth="1"/>
    <col min="7" max="7" width="19.7109375" bestFit="1" customWidth="1"/>
    <col min="8" max="8" width="22.42578125" bestFit="1" customWidth="1"/>
    <col min="9" max="9" width="26.85546875" bestFit="1" customWidth="1"/>
    <col min="10" max="10" width="7.140625" bestFit="1" customWidth="1"/>
    <col min="14" max="14" width="11.28515625" bestFit="1" customWidth="1"/>
    <col min="15" max="15" width="14" bestFit="1" customWidth="1"/>
    <col min="16" max="16" width="29.140625" bestFit="1" customWidth="1"/>
    <col min="18" max="18" width="11.28515625" bestFit="1" customWidth="1"/>
    <col min="19" max="19" width="19.140625" bestFit="1" customWidth="1"/>
    <col min="20" max="20" width="13.42578125" bestFit="1" customWidth="1"/>
  </cols>
  <sheetData>
    <row r="1" spans="1:20" x14ac:dyDescent="0.25">
      <c r="A1" s="6" t="s">
        <v>1036</v>
      </c>
      <c r="B1" t="s">
        <v>1038</v>
      </c>
      <c r="C1" t="s">
        <v>1039</v>
      </c>
      <c r="D1" t="s">
        <v>1041</v>
      </c>
      <c r="E1" t="s">
        <v>1040</v>
      </c>
      <c r="G1" s="8" t="s">
        <v>1042</v>
      </c>
      <c r="H1" s="8" t="s">
        <v>1043</v>
      </c>
      <c r="N1" s="6" t="s">
        <v>0</v>
      </c>
      <c r="O1" t="s">
        <v>1074</v>
      </c>
      <c r="P1" t="s">
        <v>1041</v>
      </c>
      <c r="R1" s="6" t="s">
        <v>0</v>
      </c>
      <c r="S1" t="s">
        <v>1075</v>
      </c>
      <c r="T1" t="s">
        <v>1076</v>
      </c>
    </row>
    <row r="2" spans="1:20" x14ac:dyDescent="0.25">
      <c r="A2" s="7" t="s">
        <v>11</v>
      </c>
      <c r="B2" s="22">
        <v>189</v>
      </c>
      <c r="C2" s="2">
        <v>22377.095238095237</v>
      </c>
      <c r="D2" s="5">
        <v>5.7827800020239843E-2</v>
      </c>
      <c r="E2" s="5">
        <v>0.5173023908848593</v>
      </c>
      <c r="G2" s="7" t="s">
        <v>1044</v>
      </c>
      <c r="H2">
        <f>IFERROR(GETPIVOTDATA("Count of Post ID",$A$48),"N/A")</f>
        <v>1000</v>
      </c>
      <c r="N2" t="s">
        <v>10</v>
      </c>
      <c r="O2" s="2">
        <v>188</v>
      </c>
      <c r="P2" s="5">
        <v>8.2632872106556315E-2</v>
      </c>
      <c r="R2" t="s">
        <v>10</v>
      </c>
      <c r="S2" s="2">
        <v>24500</v>
      </c>
      <c r="T2" s="2">
        <v>7733</v>
      </c>
    </row>
    <row r="3" spans="1:20" x14ac:dyDescent="0.25">
      <c r="A3" s="7" t="s">
        <v>14</v>
      </c>
      <c r="B3" s="22">
        <v>268</v>
      </c>
      <c r="C3" s="2">
        <v>46363.720149253728</v>
      </c>
      <c r="D3" s="5">
        <v>6.4589902329068569E-2</v>
      </c>
      <c r="E3" s="5">
        <v>0.59662812139928312</v>
      </c>
      <c r="G3" s="7" t="s">
        <v>1045</v>
      </c>
      <c r="H3" s="9">
        <f>IFERROR(GETPIVOTDATA("Average of Engagement Rate %",$A$48),"N/A")</f>
        <v>7.1801888667571395E-2</v>
      </c>
      <c r="N3" t="s">
        <v>13</v>
      </c>
      <c r="O3" s="2">
        <v>69</v>
      </c>
      <c r="P3" s="5">
        <v>3.6416234152982216E-2</v>
      </c>
      <c r="R3" t="s">
        <v>13</v>
      </c>
      <c r="S3" s="2">
        <v>23105</v>
      </c>
      <c r="T3" s="2">
        <v>11753</v>
      </c>
    </row>
    <row r="4" spans="1:20" x14ac:dyDescent="0.25">
      <c r="A4" s="7" t="s">
        <v>26</v>
      </c>
      <c r="B4" s="22">
        <v>143</v>
      </c>
      <c r="C4" s="2">
        <v>14218.307692307691</v>
      </c>
      <c r="D4" s="5">
        <v>6.0490147749555481E-2</v>
      </c>
      <c r="E4" s="5">
        <v>0.61015493665706289</v>
      </c>
      <c r="G4" s="7" t="s">
        <v>1046</v>
      </c>
      <c r="H4" s="13">
        <f>IFERROR(GETPIVOTDATA("Average of Reach Rate",$A$48),"N/A")</f>
        <v>0.5191458327445192</v>
      </c>
      <c r="N4" t="s">
        <v>16</v>
      </c>
      <c r="O4" s="2">
        <v>238</v>
      </c>
      <c r="P4" s="5">
        <v>3.2428621783574196E-2</v>
      </c>
      <c r="R4" t="s">
        <v>16</v>
      </c>
      <c r="S4" s="2">
        <v>24700</v>
      </c>
      <c r="T4" s="2">
        <v>14185</v>
      </c>
    </row>
    <row r="5" spans="1:20" x14ac:dyDescent="0.25">
      <c r="A5" s="7" t="s">
        <v>20</v>
      </c>
      <c r="B5" s="22">
        <v>242</v>
      </c>
      <c r="C5" s="2">
        <v>233930.68595041323</v>
      </c>
      <c r="D5" s="5">
        <v>0.12262692706075677</v>
      </c>
      <c r="E5" s="5">
        <v>0.48791817368519808</v>
      </c>
      <c r="N5" t="s">
        <v>19</v>
      </c>
      <c r="O5" s="2">
        <v>6006</v>
      </c>
      <c r="P5" s="5">
        <v>7.4700830186274048E-2</v>
      </c>
      <c r="R5" t="s">
        <v>19</v>
      </c>
      <c r="S5" s="2">
        <v>400879</v>
      </c>
      <c r="T5" s="2">
        <v>188271</v>
      </c>
    </row>
    <row r="6" spans="1:20" x14ac:dyDescent="0.25">
      <c r="A6" s="7" t="s">
        <v>17</v>
      </c>
      <c r="B6" s="22">
        <v>158</v>
      </c>
      <c r="C6" s="2">
        <v>18544.791139240508</v>
      </c>
      <c r="D6" s="5">
        <v>3.3142614953582374E-2</v>
      </c>
      <c r="E6" s="5">
        <v>0.73341895110606303</v>
      </c>
      <c r="G6" s="8" t="s">
        <v>1</v>
      </c>
      <c r="H6" s="8" t="s">
        <v>1049</v>
      </c>
      <c r="I6" s="8" t="s">
        <v>1050</v>
      </c>
      <c r="N6" t="s">
        <v>21</v>
      </c>
      <c r="O6" s="2">
        <v>8</v>
      </c>
      <c r="P6" s="5">
        <v>7.468511619655846E-2</v>
      </c>
      <c r="R6" t="s">
        <v>21</v>
      </c>
      <c r="S6" s="2">
        <v>13259</v>
      </c>
      <c r="T6" s="2">
        <v>5637</v>
      </c>
    </row>
    <row r="7" spans="1:20" x14ac:dyDescent="0.25">
      <c r="A7" s="7" t="s">
        <v>1037</v>
      </c>
      <c r="B7" s="22">
        <v>1000</v>
      </c>
      <c r="C7" s="2">
        <v>78229.269</v>
      </c>
      <c r="D7" s="5">
        <v>7.1801888667571395E-2</v>
      </c>
      <c r="E7" s="5">
        <v>0.5191458327445192</v>
      </c>
      <c r="G7" s="7" t="s">
        <v>11</v>
      </c>
      <c r="H7" s="14">
        <f>_xlfn.XLOOKUP($G7,$A$2:$A$6,$C$2:$C$6,"N/A")</f>
        <v>22377.095238095237</v>
      </c>
      <c r="I7" s="15">
        <f>_xlfn.XLOOKUP($G7,$A$2:$A$6,$D$2:$D$6,"N/A")</f>
        <v>5.7827800020239843E-2</v>
      </c>
      <c r="N7" t="s">
        <v>22</v>
      </c>
      <c r="O7" s="2">
        <v>13</v>
      </c>
      <c r="P7" s="5">
        <v>6.0158311345646441E-2</v>
      </c>
      <c r="R7" t="s">
        <v>22</v>
      </c>
      <c r="S7" s="2">
        <v>6469</v>
      </c>
      <c r="T7" s="2">
        <v>3790</v>
      </c>
    </row>
    <row r="8" spans="1:20" x14ac:dyDescent="0.25">
      <c r="G8" s="7" t="s">
        <v>14</v>
      </c>
      <c r="H8" s="14">
        <f t="shared" ref="H8:H11" si="0">_xlfn.XLOOKUP($G8,$A$2:$A$6,$C$2:$C$6,"N/A")</f>
        <v>46363.720149253728</v>
      </c>
      <c r="I8" s="15">
        <f t="shared" ref="I8:I11" si="1">_xlfn.XLOOKUP($G8,$A$2:$A$6,$D$2:$D$6,"N/A")</f>
        <v>6.4589902329068569E-2</v>
      </c>
      <c r="N8" t="s">
        <v>23</v>
      </c>
      <c r="O8" s="2">
        <v>182</v>
      </c>
      <c r="P8" s="5">
        <v>5.4451470440630333E-2</v>
      </c>
      <c r="R8" t="s">
        <v>23</v>
      </c>
      <c r="S8" s="2">
        <v>35618</v>
      </c>
      <c r="T8" s="2">
        <v>19926</v>
      </c>
    </row>
    <row r="9" spans="1:20" x14ac:dyDescent="0.25">
      <c r="A9" s="6" t="s">
        <v>1036</v>
      </c>
      <c r="B9" t="s">
        <v>1038</v>
      </c>
      <c r="C9" t="s">
        <v>1039</v>
      </c>
      <c r="D9" t="s">
        <v>1041</v>
      </c>
      <c r="E9" t="s">
        <v>1040</v>
      </c>
      <c r="G9" s="7" t="s">
        <v>26</v>
      </c>
      <c r="H9" s="14">
        <f t="shared" si="0"/>
        <v>14218.307692307691</v>
      </c>
      <c r="I9" s="15">
        <f t="shared" si="1"/>
        <v>6.0490147749555481E-2</v>
      </c>
      <c r="N9" t="s">
        <v>25</v>
      </c>
      <c r="O9" s="2">
        <v>20</v>
      </c>
      <c r="P9" s="5">
        <v>5.2953156822810592E-2</v>
      </c>
      <c r="R9" t="s">
        <v>25</v>
      </c>
      <c r="S9" s="2">
        <v>9468</v>
      </c>
      <c r="T9" s="2">
        <v>4910</v>
      </c>
    </row>
    <row r="10" spans="1:20" x14ac:dyDescent="0.25">
      <c r="A10" s="7" t="s">
        <v>32</v>
      </c>
      <c r="B10" s="22">
        <v>166</v>
      </c>
      <c r="C10" s="2">
        <v>32312.879518072288</v>
      </c>
      <c r="D10" s="5">
        <v>5.9345280433731315E-2</v>
      </c>
      <c r="E10" s="5">
        <v>0.57963514865384347</v>
      </c>
      <c r="G10" s="7" t="s">
        <v>20</v>
      </c>
      <c r="H10" s="14">
        <f t="shared" si="0"/>
        <v>233930.68595041323</v>
      </c>
      <c r="I10" s="15">
        <f t="shared" si="1"/>
        <v>0.12262692706075677</v>
      </c>
      <c r="N10" t="s">
        <v>27</v>
      </c>
      <c r="O10" s="2">
        <v>706</v>
      </c>
      <c r="P10" s="5">
        <v>9.1980503915197354E-2</v>
      </c>
      <c r="R10" t="s">
        <v>27</v>
      </c>
      <c r="S10" s="2">
        <v>99396</v>
      </c>
      <c r="T10" s="2">
        <v>75092</v>
      </c>
    </row>
    <row r="11" spans="1:20" x14ac:dyDescent="0.25">
      <c r="A11" s="7" t="s">
        <v>15</v>
      </c>
      <c r="B11" s="22">
        <v>196</v>
      </c>
      <c r="C11" s="2">
        <v>15845.928571428571</v>
      </c>
      <c r="D11" s="5">
        <v>5.2702907551179193E-2</v>
      </c>
      <c r="E11" s="5">
        <v>0.62092947328902481</v>
      </c>
      <c r="G11" s="7" t="s">
        <v>17</v>
      </c>
      <c r="H11" s="14">
        <f t="shared" si="0"/>
        <v>18544.791139240508</v>
      </c>
      <c r="I11" s="15">
        <f t="shared" si="1"/>
        <v>3.3142614953582374E-2</v>
      </c>
      <c r="N11" t="s">
        <v>28</v>
      </c>
      <c r="O11" s="2">
        <v>297</v>
      </c>
      <c r="P11" s="5">
        <v>0.15060240963855423</v>
      </c>
      <c r="R11" t="s">
        <v>28</v>
      </c>
      <c r="S11" s="2">
        <v>27570</v>
      </c>
      <c r="T11" s="2">
        <v>16102</v>
      </c>
    </row>
    <row r="12" spans="1:20" x14ac:dyDescent="0.25">
      <c r="A12" s="7" t="s">
        <v>24</v>
      </c>
      <c r="B12" s="22">
        <v>207</v>
      </c>
      <c r="C12" s="2">
        <v>160717.07246376813</v>
      </c>
      <c r="D12" s="5">
        <v>0.10303879720619731</v>
      </c>
      <c r="E12" s="5">
        <v>0.49712348949157031</v>
      </c>
      <c r="N12" t="s">
        <v>29</v>
      </c>
      <c r="O12" s="2">
        <v>677</v>
      </c>
      <c r="P12" s="5">
        <v>7.8728172170309918E-2</v>
      </c>
      <c r="R12" t="s">
        <v>29</v>
      </c>
      <c r="S12" s="2">
        <v>49204</v>
      </c>
      <c r="T12" s="2">
        <v>23651</v>
      </c>
    </row>
    <row r="13" spans="1:20" x14ac:dyDescent="0.25">
      <c r="A13" s="7" t="s">
        <v>12</v>
      </c>
      <c r="B13" s="22">
        <v>138</v>
      </c>
      <c r="C13" s="2">
        <v>12108.710144927536</v>
      </c>
      <c r="D13" s="5">
        <v>5.0534394414200733E-2</v>
      </c>
      <c r="E13" s="5">
        <v>0.60711178083569017</v>
      </c>
      <c r="G13" s="8" t="s">
        <v>3</v>
      </c>
      <c r="H13" s="8" t="s">
        <v>1049</v>
      </c>
      <c r="I13" s="8" t="s">
        <v>1050</v>
      </c>
      <c r="N13" t="s">
        <v>30</v>
      </c>
      <c r="O13" s="2">
        <v>7463</v>
      </c>
      <c r="P13" s="5">
        <v>0.15006527289830868</v>
      </c>
      <c r="R13" t="s">
        <v>30</v>
      </c>
      <c r="S13" s="2">
        <v>491623</v>
      </c>
      <c r="T13" s="2">
        <v>208356</v>
      </c>
    </row>
    <row r="14" spans="1:20" x14ac:dyDescent="0.25">
      <c r="A14" s="7" t="s">
        <v>18</v>
      </c>
      <c r="B14" s="22">
        <v>293</v>
      </c>
      <c r="C14" s="2">
        <v>118839.90784982935</v>
      </c>
      <c r="D14" s="5">
        <v>7.9583702336853926E-2</v>
      </c>
      <c r="E14" s="5">
        <v>0.51756849127312787</v>
      </c>
      <c r="G14" t="s">
        <v>32</v>
      </c>
      <c r="H14" s="14">
        <f>_xlfn.XLOOKUP($G14,$A$10:$A$14,$C$10:$C$14,"N/A")</f>
        <v>32312.879518072288</v>
      </c>
      <c r="I14" s="13">
        <f>_xlfn.XLOOKUP($G14,$A$10:$A$14,$D$10:$D$14,"N/A")</f>
        <v>5.9345280433731315E-2</v>
      </c>
      <c r="N14" t="s">
        <v>31</v>
      </c>
      <c r="O14" s="2">
        <v>145</v>
      </c>
      <c r="P14" s="5">
        <v>5.1937095032397407E-2</v>
      </c>
      <c r="R14" t="s">
        <v>31</v>
      </c>
      <c r="S14" s="2">
        <v>64155</v>
      </c>
      <c r="T14" s="2">
        <v>29632</v>
      </c>
    </row>
    <row r="15" spans="1:20" x14ac:dyDescent="0.25">
      <c r="A15" s="7" t="s">
        <v>1037</v>
      </c>
      <c r="B15" s="22">
        <v>1000</v>
      </c>
      <c r="C15" s="2">
        <v>78229.269</v>
      </c>
      <c r="D15" s="5">
        <v>7.1801888667571326E-2</v>
      </c>
      <c r="E15" s="5">
        <v>0.5191458327445192</v>
      </c>
      <c r="G15" t="s">
        <v>15</v>
      </c>
      <c r="H15" s="14">
        <f t="shared" ref="H15:H18" si="2">_xlfn.XLOOKUP($G15,$A$10:$A$14,$C$10:$C$14,"N/A")</f>
        <v>15845.928571428571</v>
      </c>
      <c r="I15" s="13">
        <f t="shared" ref="I15:I18" si="3">_xlfn.XLOOKUP($G15,$A$10:$A$14,$D$10:$D$14,"N/A")</f>
        <v>5.2702907551179193E-2</v>
      </c>
      <c r="N15" t="s">
        <v>33</v>
      </c>
      <c r="O15" s="2">
        <v>89</v>
      </c>
      <c r="P15" s="5">
        <v>3.7319875157712998E-2</v>
      </c>
      <c r="R15" t="s">
        <v>33</v>
      </c>
      <c r="S15" s="2">
        <v>28492</v>
      </c>
      <c r="T15" s="2">
        <v>15059</v>
      </c>
    </row>
    <row r="16" spans="1:20" x14ac:dyDescent="0.25">
      <c r="G16" t="s">
        <v>12</v>
      </c>
      <c r="H16" s="14">
        <f t="shared" si="2"/>
        <v>12108.710144927536</v>
      </c>
      <c r="I16" s="13">
        <f t="shared" si="3"/>
        <v>5.0534394414200733E-2</v>
      </c>
      <c r="N16" t="s">
        <v>34</v>
      </c>
      <c r="O16" s="2">
        <v>32</v>
      </c>
      <c r="P16" s="5">
        <v>3.2058823529411765E-2</v>
      </c>
      <c r="R16" t="s">
        <v>34</v>
      </c>
      <c r="S16" s="2">
        <v>10536</v>
      </c>
      <c r="T16" s="2">
        <v>6800</v>
      </c>
    </row>
    <row r="17" spans="1:20" x14ac:dyDescent="0.25">
      <c r="A17" s="6" t="s">
        <v>1036</v>
      </c>
      <c r="B17" t="s">
        <v>1051</v>
      </c>
      <c r="C17" t="s">
        <v>1052</v>
      </c>
      <c r="D17" t="s">
        <v>1053</v>
      </c>
      <c r="G17" t="s">
        <v>18</v>
      </c>
      <c r="H17" s="14">
        <f t="shared" si="2"/>
        <v>118839.90784982935</v>
      </c>
      <c r="I17" s="13">
        <f t="shared" si="3"/>
        <v>7.9583702336853926E-2</v>
      </c>
      <c r="N17" t="s">
        <v>35</v>
      </c>
      <c r="O17" s="2">
        <v>143</v>
      </c>
      <c r="P17" s="5">
        <v>7.9939668174962286E-2</v>
      </c>
      <c r="R17" t="s">
        <v>35</v>
      </c>
      <c r="S17" s="2">
        <v>18688</v>
      </c>
      <c r="T17" s="2">
        <v>11271</v>
      </c>
    </row>
    <row r="18" spans="1:20" x14ac:dyDescent="0.25">
      <c r="A18" s="7" t="s">
        <v>11</v>
      </c>
      <c r="B18" s="5">
        <v>0.4947612315425699</v>
      </c>
      <c r="C18" s="5">
        <v>0.19928526547282438</v>
      </c>
      <c r="D18" s="5">
        <v>0.30595350298460572</v>
      </c>
      <c r="G18" t="s">
        <v>24</v>
      </c>
      <c r="H18" s="14">
        <f t="shared" si="2"/>
        <v>160717.07246376813</v>
      </c>
      <c r="I18" s="13">
        <f t="shared" si="3"/>
        <v>0.10303879720619731</v>
      </c>
      <c r="N18" t="s">
        <v>36</v>
      </c>
      <c r="O18" s="2">
        <v>269</v>
      </c>
      <c r="P18" s="5">
        <v>4.5580513418903151E-2</v>
      </c>
      <c r="R18" t="s">
        <v>36</v>
      </c>
      <c r="S18" s="2">
        <v>21204</v>
      </c>
      <c r="T18" s="2">
        <v>13712</v>
      </c>
    </row>
    <row r="19" spans="1:20" x14ac:dyDescent="0.25">
      <c r="A19" s="7" t="s">
        <v>14</v>
      </c>
      <c r="B19" s="5">
        <v>0.7802420750730652</v>
      </c>
      <c r="C19" s="5">
        <v>0.13682759546733414</v>
      </c>
      <c r="D19" s="5">
        <v>8.293032945960066E-2</v>
      </c>
      <c r="N19" t="s">
        <v>37</v>
      </c>
      <c r="O19" s="2">
        <v>68</v>
      </c>
      <c r="P19" s="5">
        <v>6.222433331071453E-2</v>
      </c>
      <c r="R19" t="s">
        <v>37</v>
      </c>
      <c r="S19" s="2">
        <v>28864</v>
      </c>
      <c r="T19" s="2">
        <v>14737</v>
      </c>
    </row>
    <row r="20" spans="1:20" x14ac:dyDescent="0.25">
      <c r="A20" s="7" t="s">
        <v>26</v>
      </c>
      <c r="B20" s="5">
        <v>0.60553803833028408</v>
      </c>
      <c r="C20" s="5">
        <v>0.24747297805805338</v>
      </c>
      <c r="D20" s="5">
        <v>0.14698898361166257</v>
      </c>
      <c r="G20" s="8" t="s">
        <v>1</v>
      </c>
      <c r="H20" s="8" t="s">
        <v>6</v>
      </c>
      <c r="I20" s="8" t="s">
        <v>7</v>
      </c>
      <c r="J20" s="8" t="s">
        <v>8</v>
      </c>
      <c r="N20" t="s">
        <v>38</v>
      </c>
      <c r="O20" s="2">
        <v>285</v>
      </c>
      <c r="P20" s="5">
        <v>8.2502644315522927E-2</v>
      </c>
      <c r="R20" t="s">
        <v>38</v>
      </c>
      <c r="S20" s="2">
        <v>46840</v>
      </c>
      <c r="T20" s="2">
        <v>31199</v>
      </c>
    </row>
    <row r="21" spans="1:20" x14ac:dyDescent="0.25">
      <c r="A21" s="7" t="s">
        <v>20</v>
      </c>
      <c r="B21" s="5">
        <v>0.61229152826720823</v>
      </c>
      <c r="C21" s="5">
        <v>0.14312076556812744</v>
      </c>
      <c r="D21" s="5">
        <v>0.24458770616466435</v>
      </c>
      <c r="G21" s="7" t="s">
        <v>11</v>
      </c>
      <c r="H21" s="7">
        <f>GETPIVOTDATA("Sum of Like %",$A$17,"Platform","Facebook")</f>
        <v>0.4947612315425699</v>
      </c>
      <c r="I21" s="7">
        <f>GETPIVOTDATA("Sum of Comments %",$A$17,"Platform","Facebook")</f>
        <v>0.19928526547282438</v>
      </c>
      <c r="J21" s="7">
        <f>GETPIVOTDATA("Sum of Shares %",$A$17,"Platform","Facebook")</f>
        <v>0.30595350298460572</v>
      </c>
      <c r="K21" s="7"/>
      <c r="L21" s="7"/>
      <c r="N21" t="s">
        <v>39</v>
      </c>
      <c r="O21" s="2">
        <v>9</v>
      </c>
      <c r="P21" s="5">
        <v>6.8292682926829273E-2</v>
      </c>
      <c r="R21" t="s">
        <v>39</v>
      </c>
      <c r="S21" s="2">
        <v>1778</v>
      </c>
      <c r="T21" s="2">
        <v>615</v>
      </c>
    </row>
    <row r="22" spans="1:20" x14ac:dyDescent="0.25">
      <c r="A22" s="7" t="s">
        <v>17</v>
      </c>
      <c r="B22" s="5">
        <v>0.52277974021639362</v>
      </c>
      <c r="C22" s="5">
        <v>0.13133813589964677</v>
      </c>
      <c r="D22" s="5">
        <v>0.34588212388395961</v>
      </c>
      <c r="G22" s="7" t="s">
        <v>14</v>
      </c>
      <c r="H22" s="7">
        <f>GETPIVOTDATA("Sum of Like %",$A$17,"Platform","Instagram")</f>
        <v>0.7802420750730652</v>
      </c>
      <c r="I22" s="7">
        <f>GETPIVOTDATA("Sum of Comments %",$A$17,"Platform","Instagram")</f>
        <v>0.13682759546733414</v>
      </c>
      <c r="J22" s="7">
        <f>GETPIVOTDATA("Sum of Shares %",$A$17,"Platform","Instagram")</f>
        <v>8.293032945960066E-2</v>
      </c>
      <c r="K22" s="7"/>
      <c r="L22" s="7"/>
      <c r="N22" t="s">
        <v>40</v>
      </c>
      <c r="O22" s="2">
        <v>2374</v>
      </c>
      <c r="P22" s="5">
        <v>0.12411479279594334</v>
      </c>
      <c r="R22" t="s">
        <v>40</v>
      </c>
      <c r="S22" s="2">
        <v>156565</v>
      </c>
      <c r="T22" s="2">
        <v>91504</v>
      </c>
    </row>
    <row r="23" spans="1:20" x14ac:dyDescent="0.25">
      <c r="G23" s="7" t="s">
        <v>26</v>
      </c>
      <c r="H23" s="7">
        <f>GETPIVOTDATA("Sum of Like %",$A$17,"Platform","LinkedIn")</f>
        <v>0.60553803833028408</v>
      </c>
      <c r="I23" s="7">
        <f>GETPIVOTDATA("Sum of Comments %",$A$17,"Platform","LinkedIn")</f>
        <v>0.24747297805805338</v>
      </c>
      <c r="J23" s="7">
        <f>GETPIVOTDATA("Sum of Shares %",$A$17,"Platform","LinkedIn")</f>
        <v>0.14698898361166257</v>
      </c>
      <c r="K23" s="7"/>
      <c r="L23" s="7"/>
      <c r="N23" t="s">
        <v>41</v>
      </c>
      <c r="O23" s="2">
        <v>275</v>
      </c>
      <c r="P23" s="5">
        <v>6.5043478260869564E-2</v>
      </c>
      <c r="R23" t="s">
        <v>41</v>
      </c>
      <c r="S23" s="2">
        <v>24262</v>
      </c>
      <c r="T23" s="2">
        <v>14375</v>
      </c>
    </row>
    <row r="24" spans="1:20" x14ac:dyDescent="0.25">
      <c r="A24" s="6" t="s">
        <v>1036</v>
      </c>
      <c r="B24" t="s">
        <v>1048</v>
      </c>
      <c r="G24" s="7" t="s">
        <v>20</v>
      </c>
      <c r="H24" s="7">
        <f>GETPIVOTDATA("Sum of Like %",$A$17,"Platform","TikTok")</f>
        <v>0.61229152826720823</v>
      </c>
      <c r="I24" s="7">
        <f>GETPIVOTDATA("Sum of Comments %",$A$17,"Platform","TikTok")</f>
        <v>0.14312076556812744</v>
      </c>
      <c r="J24" s="7">
        <f>GETPIVOTDATA("Sum of Shares %",$A$17,"Platform","TikTok")</f>
        <v>0.24458770616466435</v>
      </c>
      <c r="K24" s="7"/>
      <c r="L24" s="7"/>
      <c r="N24" t="s">
        <v>42</v>
      </c>
      <c r="O24" s="2">
        <v>43</v>
      </c>
      <c r="P24" s="5">
        <v>4.3179122182680899E-2</v>
      </c>
      <c r="R24" t="s">
        <v>42</v>
      </c>
      <c r="S24" s="2">
        <v>6057</v>
      </c>
      <c r="T24" s="2">
        <v>4215</v>
      </c>
    </row>
    <row r="25" spans="1:20" x14ac:dyDescent="0.25">
      <c r="A25" s="7" t="s">
        <v>11</v>
      </c>
      <c r="B25" s="16">
        <v>10.929454203825319</v>
      </c>
      <c r="G25" s="7" t="s">
        <v>17</v>
      </c>
      <c r="H25" s="7">
        <f>GETPIVOTDATA("Sum of Like %",$A$17,"Platform","Twitter")</f>
        <v>0.52277974021639362</v>
      </c>
      <c r="I25" s="7">
        <f>GETPIVOTDATA("Sum of Comments %",$A$17,"Platform","Twitter")</f>
        <v>0.13133813589964677</v>
      </c>
      <c r="J25" s="7">
        <f>GETPIVOTDATA("Sum of Shares %",$A$17,"Platform","Twitter")</f>
        <v>0.34588212388395961</v>
      </c>
      <c r="K25" s="7"/>
      <c r="L25" s="7"/>
      <c r="N25" t="s">
        <v>43</v>
      </c>
      <c r="O25" s="2">
        <v>506</v>
      </c>
      <c r="P25" s="5">
        <v>7.6411184402545088E-2</v>
      </c>
      <c r="R25" t="s">
        <v>43</v>
      </c>
      <c r="S25" s="2">
        <v>28124</v>
      </c>
      <c r="T25" s="2">
        <v>17131</v>
      </c>
    </row>
    <row r="26" spans="1:20" x14ac:dyDescent="0.25">
      <c r="A26" s="12" t="s">
        <v>32</v>
      </c>
      <c r="B26" s="16">
        <v>3.0994542584938483</v>
      </c>
      <c r="N26" t="s">
        <v>44</v>
      </c>
      <c r="O26" s="2">
        <v>34</v>
      </c>
      <c r="P26" s="5">
        <v>4.6587984736888813E-2</v>
      </c>
      <c r="R26" t="s">
        <v>44</v>
      </c>
      <c r="S26" s="2">
        <v>17059</v>
      </c>
      <c r="T26" s="2">
        <v>11269</v>
      </c>
    </row>
    <row r="27" spans="1:20" x14ac:dyDescent="0.25">
      <c r="A27" s="12" t="s">
        <v>15</v>
      </c>
      <c r="B27" s="16">
        <v>2.4317887540413734</v>
      </c>
      <c r="G27" s="8" t="s">
        <v>1</v>
      </c>
      <c r="H27" s="8" t="s">
        <v>32</v>
      </c>
      <c r="I27" s="8" t="s">
        <v>15</v>
      </c>
      <c r="J27" s="8" t="s">
        <v>12</v>
      </c>
      <c r="K27" s="8" t="s">
        <v>18</v>
      </c>
      <c r="L27" s="8" t="s">
        <v>24</v>
      </c>
      <c r="N27" t="s">
        <v>45</v>
      </c>
      <c r="O27" s="2">
        <v>46</v>
      </c>
      <c r="P27" s="5">
        <v>2.6486626850168789E-2</v>
      </c>
      <c r="R27" t="s">
        <v>45</v>
      </c>
      <c r="S27" s="2">
        <v>5218</v>
      </c>
      <c r="T27" s="2">
        <v>3851</v>
      </c>
    </row>
    <row r="28" spans="1:20" x14ac:dyDescent="0.25">
      <c r="A28" s="12" t="s">
        <v>12</v>
      </c>
      <c r="B28" s="16">
        <v>2.8565081541455566</v>
      </c>
      <c r="G28" s="7" t="s">
        <v>11</v>
      </c>
      <c r="H28" s="16">
        <f>GETPIVOTDATA("Engagement Rate %",$A$24,"Platform","Facebook","Content Type","Carousel")</f>
        <v>3.0994542584938483</v>
      </c>
      <c r="I28" s="16">
        <f>GETPIVOTDATA("Engagement Rate %",$A$24,"Platform","Facebook","Content Type","Image")</f>
        <v>2.4317887540413734</v>
      </c>
      <c r="J28" s="16">
        <f>GETPIVOTDATA("Engagement Rate %",$A$24,"Platform","Facebook","Content Type","Text")</f>
        <v>2.8565081541455566</v>
      </c>
      <c r="K28" s="16">
        <f>GETPIVOTDATA("Engagement Rate %",$A$24,"Platform","Facebook","Content Type","Video")</f>
        <v>2.5417030371445408</v>
      </c>
      <c r="L28" s="16"/>
      <c r="N28" t="s">
        <v>46</v>
      </c>
      <c r="O28" s="2">
        <v>4580</v>
      </c>
      <c r="P28" s="5">
        <v>8.4510192590992878E-2</v>
      </c>
      <c r="R28" t="s">
        <v>46</v>
      </c>
      <c r="S28" s="2">
        <v>343265</v>
      </c>
      <c r="T28" s="2">
        <v>129653</v>
      </c>
    </row>
    <row r="29" spans="1:20" x14ac:dyDescent="0.25">
      <c r="A29" s="12" t="s">
        <v>18</v>
      </c>
      <c r="B29" s="16">
        <v>2.5417030371445408</v>
      </c>
      <c r="G29" s="7" t="s">
        <v>14</v>
      </c>
      <c r="H29" s="16">
        <f>GETPIVOTDATA("Engagement Rate %",$A$24,"Platform","Instagram","Content Type","Carousel")</f>
        <v>4.8017448873504591</v>
      </c>
      <c r="I29" s="16">
        <f>GETPIVOTDATA("Engagement Rate %",$A$24,"Platform","Instagram","Content Type","Image")</f>
        <v>3.744441140702774</v>
      </c>
      <c r="J29" s="16"/>
      <c r="K29" s="16">
        <f>GETPIVOTDATA("Engagement Rate %",$A$24,"Platform","Instagram","Content Type","Video")</f>
        <v>4.3128879337555217</v>
      </c>
      <c r="L29" s="16">
        <f>GETPIVOTDATA("Engagement Rate %",$A$24,"Platform","Instagram","Content Type","Reel")</f>
        <v>4.4510198623816155</v>
      </c>
      <c r="N29" t="s">
        <v>47</v>
      </c>
      <c r="O29" s="2">
        <v>5661</v>
      </c>
      <c r="P29" s="5">
        <v>0.16948720916772775</v>
      </c>
      <c r="R29" t="s">
        <v>47</v>
      </c>
      <c r="S29" s="2">
        <v>272700</v>
      </c>
      <c r="T29" s="2">
        <v>129585</v>
      </c>
    </row>
    <row r="30" spans="1:20" x14ac:dyDescent="0.25">
      <c r="A30" s="7" t="s">
        <v>14</v>
      </c>
      <c r="B30" s="16">
        <v>17.310093824190371</v>
      </c>
      <c r="G30" s="7" t="s">
        <v>26</v>
      </c>
      <c r="H30" s="16">
        <f>GETPIVOTDATA("Engagement Rate %",$A$24,"Platform","LinkedIn","Content Type","Carousel")</f>
        <v>1.9501174061550857</v>
      </c>
      <c r="I30" s="16">
        <f>GETPIVOTDATA("Engagement Rate %",$A$24,"Platform","LinkedIn","Content Type","Image")</f>
        <v>2.1610831900198662</v>
      </c>
      <c r="J30" s="16">
        <f>GETPIVOTDATA("Engagement Rate %",$A$24,"Platform","LinkedIn","Content Type","Text")</f>
        <v>2.4970836638816509</v>
      </c>
      <c r="K30" s="16">
        <f>GETPIVOTDATA("Engagement Rate %",$A$24,"Platform","LinkedIn","Content Type","Video")</f>
        <v>2.0418068681298327</v>
      </c>
      <c r="L30" s="16"/>
      <c r="N30" t="s">
        <v>48</v>
      </c>
      <c r="O30" s="2">
        <v>5</v>
      </c>
      <c r="P30" s="5">
        <v>3.5904255319148939E-2</v>
      </c>
      <c r="R30" t="s">
        <v>48</v>
      </c>
      <c r="S30" s="2">
        <v>3041</v>
      </c>
      <c r="T30" s="2">
        <v>1504</v>
      </c>
    </row>
    <row r="31" spans="1:20" x14ac:dyDescent="0.25">
      <c r="A31" s="12" t="s">
        <v>32</v>
      </c>
      <c r="B31" s="16">
        <v>4.8017448873504591</v>
      </c>
      <c r="G31" s="7" t="s">
        <v>20</v>
      </c>
      <c r="H31" s="16"/>
      <c r="I31" s="16"/>
      <c r="J31" s="16"/>
      <c r="K31" s="16">
        <f>GETPIVOTDATA("Engagement Rate %",$A$24,"Platform","TikTok","Content Type","Video")</f>
        <v>12.797705189401906</v>
      </c>
      <c r="L31" s="16">
        <f>GETPIVOTDATA("Engagement Rate %",$A$24,"Platform","TikTok","Content Type","Reel")</f>
        <v>16.878011159301238</v>
      </c>
      <c r="N31" t="s">
        <v>49</v>
      </c>
      <c r="O31" s="2">
        <v>8257</v>
      </c>
      <c r="P31" s="5">
        <v>8.6795520231213869E-2</v>
      </c>
      <c r="R31" t="s">
        <v>49</v>
      </c>
      <c r="S31" s="2">
        <v>458030</v>
      </c>
      <c r="T31" s="2">
        <v>177152</v>
      </c>
    </row>
    <row r="32" spans="1:20" x14ac:dyDescent="0.25">
      <c r="A32" s="12" t="s">
        <v>15</v>
      </c>
      <c r="B32" s="16">
        <v>3.744441140702774</v>
      </c>
      <c r="G32" s="7" t="s">
        <v>17</v>
      </c>
      <c r="H32" s="16"/>
      <c r="I32" s="16">
        <f>GETPIVOTDATA("Engagement Rate %",$A$24,"Platform","Twitter","Content Type","Image")</f>
        <v>1.9924567952671128</v>
      </c>
      <c r="J32" s="16">
        <f>GETPIVOTDATA("Engagement Rate %",$A$24,"Platform","Twitter","Content Type","Text")</f>
        <v>1.6201546111324872</v>
      </c>
      <c r="K32" s="16">
        <f>GETPIVOTDATA("Engagement Rate %",$A$24,"Platform","Twitter","Content Type","Video")</f>
        <v>1.6239217562664128</v>
      </c>
      <c r="L32" s="16"/>
      <c r="N32" t="s">
        <v>50</v>
      </c>
      <c r="O32" s="2">
        <v>46</v>
      </c>
      <c r="P32" s="5">
        <v>3.0753061597514165E-2</v>
      </c>
      <c r="R32" t="s">
        <v>50</v>
      </c>
      <c r="S32" s="2">
        <v>35777</v>
      </c>
      <c r="T32" s="2">
        <v>21884</v>
      </c>
    </row>
    <row r="33" spans="1:20" x14ac:dyDescent="0.25">
      <c r="A33" s="12" t="s">
        <v>24</v>
      </c>
      <c r="B33" s="16">
        <v>4.4510198623816155</v>
      </c>
      <c r="N33" t="s">
        <v>51</v>
      </c>
      <c r="O33" s="2">
        <v>289</v>
      </c>
      <c r="P33" s="5">
        <v>4.5597935187840548E-2</v>
      </c>
      <c r="R33" t="s">
        <v>51</v>
      </c>
      <c r="S33" s="2">
        <v>15233</v>
      </c>
      <c r="T33" s="2">
        <v>10461</v>
      </c>
    </row>
    <row r="34" spans="1:20" x14ac:dyDescent="0.25">
      <c r="A34" s="12" t="s">
        <v>18</v>
      </c>
      <c r="B34" s="16">
        <v>4.3128879337555217</v>
      </c>
      <c r="G34" s="8" t="s">
        <v>1059</v>
      </c>
      <c r="H34" s="8" t="s">
        <v>1057</v>
      </c>
      <c r="I34" s="8" t="s">
        <v>1058</v>
      </c>
      <c r="N34" t="s">
        <v>52</v>
      </c>
      <c r="O34" s="2">
        <v>666</v>
      </c>
      <c r="P34" s="5">
        <v>5.2453366387520031E-2</v>
      </c>
      <c r="R34" t="s">
        <v>52</v>
      </c>
      <c r="S34" s="2">
        <v>47861</v>
      </c>
      <c r="T34" s="2">
        <v>33077</v>
      </c>
    </row>
    <row r="35" spans="1:20" x14ac:dyDescent="0.25">
      <c r="A35" s="7" t="s">
        <v>26</v>
      </c>
      <c r="B35" s="16">
        <v>8.6500911281864354</v>
      </c>
      <c r="G35" cm="1">
        <f t="array" ref="G35:G46">RANK($I$35:$I$46,$I$35:$I$46)</f>
        <v>9</v>
      </c>
      <c r="H35" t="s">
        <v>1062</v>
      </c>
      <c r="I35" s="9">
        <f t="shared" ref="I35:I46" si="4">_xlfn.XLOOKUP($H35,$A$57:$A$68,$B$57:$B$68,"N/A")</f>
        <v>6.9684147338469116E-2</v>
      </c>
      <c r="N35" t="s">
        <v>53</v>
      </c>
      <c r="O35" s="2">
        <v>184</v>
      </c>
      <c r="P35" s="5">
        <v>4.7718877907557154E-2</v>
      </c>
      <c r="R35" t="s">
        <v>53</v>
      </c>
      <c r="S35" s="2">
        <v>31340</v>
      </c>
      <c r="T35" s="2">
        <v>20034</v>
      </c>
    </row>
    <row r="36" spans="1:20" x14ac:dyDescent="0.25">
      <c r="A36" s="12" t="s">
        <v>32</v>
      </c>
      <c r="B36" s="16">
        <v>1.9501174061550857</v>
      </c>
      <c r="G36">
        <v>2</v>
      </c>
      <c r="H36" t="s">
        <v>1063</v>
      </c>
      <c r="I36" s="9">
        <f t="shared" si="4"/>
        <v>7.6388409234929067E-2</v>
      </c>
      <c r="N36" t="s">
        <v>54</v>
      </c>
      <c r="O36" s="2">
        <v>240</v>
      </c>
      <c r="P36" s="5">
        <v>5.3402069969698165E-2</v>
      </c>
      <c r="R36" t="s">
        <v>54</v>
      </c>
      <c r="S36" s="2">
        <v>39118</v>
      </c>
      <c r="T36" s="2">
        <v>25411</v>
      </c>
    </row>
    <row r="37" spans="1:20" x14ac:dyDescent="0.25">
      <c r="A37" s="12" t="s">
        <v>15</v>
      </c>
      <c r="B37" s="16">
        <v>2.1610831900198662</v>
      </c>
      <c r="G37">
        <v>6</v>
      </c>
      <c r="H37" t="s">
        <v>1064</v>
      </c>
      <c r="I37" s="9">
        <f t="shared" si="4"/>
        <v>7.3194989531451427E-2</v>
      </c>
      <c r="N37" t="s">
        <v>55</v>
      </c>
      <c r="O37" s="2">
        <v>176</v>
      </c>
      <c r="P37" s="5">
        <v>0.16489063376332025</v>
      </c>
      <c r="R37" t="s">
        <v>55</v>
      </c>
      <c r="S37" s="2">
        <v>24021</v>
      </c>
      <c r="T37" s="2">
        <v>8915</v>
      </c>
    </row>
    <row r="38" spans="1:20" x14ac:dyDescent="0.25">
      <c r="A38" s="12" t="s">
        <v>12</v>
      </c>
      <c r="B38" s="16">
        <v>2.4970836638816509</v>
      </c>
      <c r="G38">
        <v>5</v>
      </c>
      <c r="H38" t="s">
        <v>1065</v>
      </c>
      <c r="I38" s="9">
        <f t="shared" si="4"/>
        <v>7.3395525708814455E-2</v>
      </c>
      <c r="N38" t="s">
        <v>56</v>
      </c>
      <c r="O38" s="2">
        <v>3148</v>
      </c>
      <c r="P38" s="5">
        <v>0.15400600499652384</v>
      </c>
      <c r="R38" t="s">
        <v>56</v>
      </c>
      <c r="S38" s="2">
        <v>366792</v>
      </c>
      <c r="T38" s="2">
        <v>130891</v>
      </c>
    </row>
    <row r="39" spans="1:20" x14ac:dyDescent="0.25">
      <c r="A39" s="12" t="s">
        <v>18</v>
      </c>
      <c r="B39" s="16">
        <v>2.0418068681298327</v>
      </c>
      <c r="G39">
        <v>7</v>
      </c>
      <c r="H39" t="s">
        <v>1056</v>
      </c>
      <c r="I39" s="9">
        <f t="shared" si="4"/>
        <v>7.0992820853178207E-2</v>
      </c>
      <c r="N39" t="s">
        <v>57</v>
      </c>
      <c r="O39" s="2">
        <v>7499</v>
      </c>
      <c r="P39" s="5">
        <v>0.17563234770217315</v>
      </c>
      <c r="R39" t="s">
        <v>57</v>
      </c>
      <c r="S39" s="2">
        <v>326182</v>
      </c>
      <c r="T39" s="2">
        <v>168420</v>
      </c>
    </row>
    <row r="40" spans="1:20" x14ac:dyDescent="0.25">
      <c r="A40" s="7" t="s">
        <v>20</v>
      </c>
      <c r="B40" s="16">
        <v>29.675716348703144</v>
      </c>
      <c r="G40">
        <v>1</v>
      </c>
      <c r="H40" t="s">
        <v>1066</v>
      </c>
      <c r="I40" s="9">
        <f t="shared" si="4"/>
        <v>7.8825419451247783E-2</v>
      </c>
      <c r="N40" t="s">
        <v>58</v>
      </c>
      <c r="O40" s="2">
        <v>6</v>
      </c>
      <c r="P40" s="5">
        <v>5.7692307692307696E-2</v>
      </c>
      <c r="R40" t="s">
        <v>58</v>
      </c>
      <c r="S40" s="2">
        <v>735</v>
      </c>
      <c r="T40" s="2">
        <v>520</v>
      </c>
    </row>
    <row r="41" spans="1:20" x14ac:dyDescent="0.25">
      <c r="A41" s="12" t="s">
        <v>24</v>
      </c>
      <c r="B41" s="16">
        <v>16.878011159301238</v>
      </c>
      <c r="G41">
        <v>4</v>
      </c>
      <c r="H41" t="s">
        <v>1067</v>
      </c>
      <c r="I41" s="9">
        <f t="shared" si="4"/>
        <v>7.4794047809084038E-2</v>
      </c>
      <c r="N41" t="s">
        <v>59</v>
      </c>
      <c r="O41" s="2">
        <v>7454</v>
      </c>
      <c r="P41" s="5">
        <v>0.13428402156034952</v>
      </c>
      <c r="R41" t="s">
        <v>59</v>
      </c>
      <c r="S41" s="2">
        <v>397172</v>
      </c>
      <c r="T41" s="2">
        <v>241369</v>
      </c>
    </row>
    <row r="42" spans="1:20" x14ac:dyDescent="0.25">
      <c r="A42" s="12" t="s">
        <v>18</v>
      </c>
      <c r="B42" s="16">
        <v>12.797705189401906</v>
      </c>
      <c r="G42">
        <v>3</v>
      </c>
      <c r="H42" t="s">
        <v>1068</v>
      </c>
      <c r="I42" s="9">
        <f t="shared" si="4"/>
        <v>7.5222111585613621E-2</v>
      </c>
      <c r="N42" t="s">
        <v>60</v>
      </c>
      <c r="O42" s="2">
        <v>86</v>
      </c>
      <c r="P42" s="5">
        <v>3.2378201717716805E-2</v>
      </c>
      <c r="R42" t="s">
        <v>60</v>
      </c>
      <c r="S42" s="2">
        <v>22792</v>
      </c>
      <c r="T42" s="2">
        <v>13157</v>
      </c>
    </row>
    <row r="43" spans="1:20" x14ac:dyDescent="0.25">
      <c r="A43" s="7" t="s">
        <v>17</v>
      </c>
      <c r="B43" s="16">
        <v>5.2365331626660128</v>
      </c>
      <c r="G43">
        <v>8</v>
      </c>
      <c r="H43" t="s">
        <v>1069</v>
      </c>
      <c r="I43" s="9">
        <f t="shared" si="4"/>
        <v>6.9807067365660072E-2</v>
      </c>
      <c r="N43" t="s">
        <v>61</v>
      </c>
      <c r="O43" s="2">
        <v>175</v>
      </c>
      <c r="P43" s="5">
        <v>6.460828480386771E-2</v>
      </c>
      <c r="R43" t="s">
        <v>61</v>
      </c>
      <c r="S43" s="2">
        <v>22661</v>
      </c>
      <c r="T43" s="2">
        <v>9101</v>
      </c>
    </row>
    <row r="44" spans="1:20" x14ac:dyDescent="0.25">
      <c r="A44" s="12" t="s">
        <v>15</v>
      </c>
      <c r="B44" s="16">
        <v>1.9924567952671128</v>
      </c>
      <c r="G44">
        <v>11</v>
      </c>
      <c r="H44" t="s">
        <v>1070</v>
      </c>
      <c r="I44" s="9">
        <f t="shared" si="4"/>
        <v>6.752967908380636E-2</v>
      </c>
      <c r="N44" t="s">
        <v>62</v>
      </c>
      <c r="O44" s="2">
        <v>514</v>
      </c>
      <c r="P44" s="5">
        <v>5.3399154647823702E-2</v>
      </c>
      <c r="R44" t="s">
        <v>62</v>
      </c>
      <c r="S44" s="2">
        <v>55310</v>
      </c>
      <c r="T44" s="2">
        <v>30993</v>
      </c>
    </row>
    <row r="45" spans="1:20" x14ac:dyDescent="0.25">
      <c r="A45" s="12" t="s">
        <v>12</v>
      </c>
      <c r="B45" s="16">
        <v>1.6201546111324872</v>
      </c>
      <c r="G45">
        <v>10</v>
      </c>
      <c r="H45" t="s">
        <v>1071</v>
      </c>
      <c r="I45" s="9">
        <f t="shared" si="4"/>
        <v>6.8705422434371013E-2</v>
      </c>
      <c r="N45" t="s">
        <v>63</v>
      </c>
      <c r="O45" s="2">
        <v>200</v>
      </c>
      <c r="P45" s="5">
        <v>6.7185514612452354E-2</v>
      </c>
      <c r="R45" t="s">
        <v>63</v>
      </c>
      <c r="S45" s="2">
        <v>105049</v>
      </c>
      <c r="T45" s="2">
        <v>62960</v>
      </c>
    </row>
    <row r="46" spans="1:20" x14ac:dyDescent="0.25">
      <c r="A46" s="12" t="s">
        <v>18</v>
      </c>
      <c r="B46" s="16">
        <v>1.6239217562664128</v>
      </c>
      <c r="G46">
        <v>12</v>
      </c>
      <c r="H46" t="s">
        <v>1072</v>
      </c>
      <c r="I46" s="9">
        <f t="shared" si="4"/>
        <v>6.5486829409938371E-2</v>
      </c>
      <c r="N46" t="s">
        <v>64</v>
      </c>
      <c r="O46" s="2">
        <v>129</v>
      </c>
      <c r="P46" s="5">
        <v>9.1104863312795353E-2</v>
      </c>
      <c r="R46" t="s">
        <v>64</v>
      </c>
      <c r="S46" s="2">
        <v>29553</v>
      </c>
      <c r="T46" s="2">
        <v>16717</v>
      </c>
    </row>
    <row r="47" spans="1:20" x14ac:dyDescent="0.25">
      <c r="N47" t="s">
        <v>65</v>
      </c>
      <c r="O47" s="2">
        <v>706</v>
      </c>
      <c r="P47" s="5">
        <v>2.8490604162457061E-2</v>
      </c>
      <c r="R47" t="s">
        <v>65</v>
      </c>
      <c r="S47" s="2">
        <v>58726</v>
      </c>
      <c r="T47" s="2">
        <v>49490</v>
      </c>
    </row>
    <row r="48" spans="1:20" x14ac:dyDescent="0.25">
      <c r="A48" s="6" t="s">
        <v>1036</v>
      </c>
      <c r="B48" t="s">
        <v>1038</v>
      </c>
      <c r="C48" t="s">
        <v>1039</v>
      </c>
      <c r="D48" t="s">
        <v>1041</v>
      </c>
      <c r="E48" t="s">
        <v>1040</v>
      </c>
      <c r="G48" s="17" t="s">
        <v>1060</v>
      </c>
      <c r="H48" s="17" t="str">
        <f>VLOOKUP(1,$G$34:$I$46,2,0)</f>
        <v>June</v>
      </c>
      <c r="I48" s="19">
        <f>VLOOKUP(1,$G$34:$I$46,3,0)</f>
        <v>7.8825419451247783E-2</v>
      </c>
      <c r="N48" t="s">
        <v>66</v>
      </c>
      <c r="O48" s="2">
        <v>1324</v>
      </c>
      <c r="P48" s="5">
        <v>0.11568944076321992</v>
      </c>
      <c r="R48" t="s">
        <v>66</v>
      </c>
      <c r="S48" s="2">
        <v>117780</v>
      </c>
      <c r="T48" s="2">
        <v>53877</v>
      </c>
    </row>
    <row r="49" spans="1:20" x14ac:dyDescent="0.25">
      <c r="A49" s="7" t="s">
        <v>11</v>
      </c>
      <c r="B49" s="22">
        <v>189</v>
      </c>
      <c r="C49" s="2">
        <v>22377.095238095237</v>
      </c>
      <c r="D49" s="5">
        <v>5.7827800020239843E-2</v>
      </c>
      <c r="E49" s="5">
        <v>0.5173023908848593</v>
      </c>
      <c r="G49" s="17" t="s">
        <v>1061</v>
      </c>
      <c r="H49" s="17" t="str">
        <f>VLOOKUP(12,$G$34:$I$46,2,0)</f>
        <v>December</v>
      </c>
      <c r="I49" s="19">
        <f>VLOOKUP(12,$G$34:$I$46,3,0)</f>
        <v>6.5486829409938371E-2</v>
      </c>
      <c r="N49" t="s">
        <v>67</v>
      </c>
      <c r="O49" s="2">
        <v>9391</v>
      </c>
      <c r="P49" s="5">
        <v>0.13448150164934813</v>
      </c>
      <c r="R49" t="s">
        <v>67</v>
      </c>
      <c r="S49" s="2">
        <v>457636</v>
      </c>
      <c r="T49" s="2">
        <v>222209</v>
      </c>
    </row>
    <row r="50" spans="1:20" x14ac:dyDescent="0.25">
      <c r="A50" s="7" t="s">
        <v>14</v>
      </c>
      <c r="B50" s="22">
        <v>268</v>
      </c>
      <c r="C50" s="2">
        <v>46363.720149253728</v>
      </c>
      <c r="D50" s="5">
        <v>6.4589902329068569E-2</v>
      </c>
      <c r="E50" s="5">
        <v>0.59662812139928312</v>
      </c>
      <c r="N50" t="s">
        <v>68</v>
      </c>
      <c r="O50" s="2">
        <v>99</v>
      </c>
      <c r="P50" s="5">
        <v>3.5430839002267574E-2</v>
      </c>
      <c r="R50" t="s">
        <v>68</v>
      </c>
      <c r="S50" s="2">
        <v>13316</v>
      </c>
      <c r="T50" s="2">
        <v>10584</v>
      </c>
    </row>
    <row r="51" spans="1:20" x14ac:dyDescent="0.25">
      <c r="A51" s="7" t="s">
        <v>26</v>
      </c>
      <c r="B51" s="22">
        <v>143</v>
      </c>
      <c r="C51" s="2">
        <v>14218.307692307691</v>
      </c>
      <c r="D51" s="5">
        <v>6.0490147749555481E-2</v>
      </c>
      <c r="E51" s="5">
        <v>0.61015493665706289</v>
      </c>
      <c r="N51" t="s">
        <v>69</v>
      </c>
      <c r="O51" s="2">
        <v>88</v>
      </c>
      <c r="P51" s="5">
        <v>9.5901775344284054E-2</v>
      </c>
      <c r="R51" t="s">
        <v>69</v>
      </c>
      <c r="S51" s="2">
        <v>8646</v>
      </c>
      <c r="T51" s="2">
        <v>6027</v>
      </c>
    </row>
    <row r="52" spans="1:20" x14ac:dyDescent="0.25">
      <c r="A52" s="7" t="s">
        <v>20</v>
      </c>
      <c r="B52" s="22">
        <v>242</v>
      </c>
      <c r="C52" s="2">
        <v>233930.68595041323</v>
      </c>
      <c r="D52" s="5">
        <v>0.12262692706075677</v>
      </c>
      <c r="E52" s="5">
        <v>0.48791817368519808</v>
      </c>
      <c r="N52" t="s">
        <v>70</v>
      </c>
      <c r="O52" s="2">
        <v>8</v>
      </c>
      <c r="P52" s="5">
        <v>2.7398989898989898E-2</v>
      </c>
      <c r="R52" t="s">
        <v>70</v>
      </c>
      <c r="S52" s="2">
        <v>13675</v>
      </c>
      <c r="T52" s="2">
        <v>7920</v>
      </c>
    </row>
    <row r="53" spans="1:20" x14ac:dyDescent="0.25">
      <c r="A53" s="7" t="s">
        <v>17</v>
      </c>
      <c r="B53" s="22">
        <v>158</v>
      </c>
      <c r="C53" s="2">
        <v>18544.791139240508</v>
      </c>
      <c r="D53" s="5">
        <v>3.3142614953582374E-2</v>
      </c>
      <c r="E53" s="5">
        <v>0.73341895110606303</v>
      </c>
      <c r="N53" t="s">
        <v>71</v>
      </c>
      <c r="O53" s="2">
        <v>724</v>
      </c>
      <c r="P53" s="5">
        <v>3.6553400371729494E-2</v>
      </c>
      <c r="R53" t="s">
        <v>71</v>
      </c>
      <c r="S53" s="2">
        <v>48287</v>
      </c>
      <c r="T53" s="2">
        <v>41966</v>
      </c>
    </row>
    <row r="54" spans="1:20" x14ac:dyDescent="0.25">
      <c r="A54" s="7" t="s">
        <v>1037</v>
      </c>
      <c r="B54" s="22">
        <v>1000</v>
      </c>
      <c r="C54" s="2">
        <v>78229.269</v>
      </c>
      <c r="D54" s="5">
        <v>7.1801888667571395E-2</v>
      </c>
      <c r="E54" s="5">
        <v>0.5191458327445192</v>
      </c>
      <c r="N54" t="s">
        <v>72</v>
      </c>
      <c r="O54" s="2">
        <v>506</v>
      </c>
      <c r="P54" s="5">
        <v>5.2170100832967997E-2</v>
      </c>
      <c r="R54" t="s">
        <v>72</v>
      </c>
      <c r="S54" s="2">
        <v>117992</v>
      </c>
      <c r="T54" s="2">
        <v>57025</v>
      </c>
    </row>
    <row r="55" spans="1:20" x14ac:dyDescent="0.25">
      <c r="N55" t="s">
        <v>73</v>
      </c>
      <c r="O55" s="2">
        <v>4706</v>
      </c>
      <c r="P55" s="5">
        <v>9.3270541862890008E-2</v>
      </c>
      <c r="R55" t="s">
        <v>73</v>
      </c>
      <c r="S55" s="2">
        <v>506642</v>
      </c>
      <c r="T55" s="2">
        <v>174546</v>
      </c>
    </row>
    <row r="56" spans="1:20" x14ac:dyDescent="0.25">
      <c r="A56" s="6" t="s">
        <v>1036</v>
      </c>
      <c r="B56" t="s">
        <v>1041</v>
      </c>
      <c r="N56" t="s">
        <v>74</v>
      </c>
      <c r="O56" s="2">
        <v>142</v>
      </c>
      <c r="P56" s="5">
        <v>8.9029135136791157E-2</v>
      </c>
      <c r="R56" t="s">
        <v>74</v>
      </c>
      <c r="S56" s="2">
        <v>69218</v>
      </c>
      <c r="T56" s="2">
        <v>32641</v>
      </c>
    </row>
    <row r="57" spans="1:20" x14ac:dyDescent="0.25">
      <c r="A57" s="7" t="s">
        <v>1062</v>
      </c>
      <c r="B57" s="5">
        <v>6.9684147338469116E-2</v>
      </c>
      <c r="N57" t="s">
        <v>75</v>
      </c>
      <c r="O57" s="2">
        <v>119</v>
      </c>
      <c r="P57" s="5">
        <v>6.1757990867579909E-2</v>
      </c>
      <c r="R57" t="s">
        <v>75</v>
      </c>
      <c r="S57" s="2">
        <v>14531</v>
      </c>
      <c r="T57" s="2">
        <v>8760</v>
      </c>
    </row>
    <row r="58" spans="1:20" x14ac:dyDescent="0.25">
      <c r="A58" s="7" t="s">
        <v>1063</v>
      </c>
      <c r="B58" s="5">
        <v>7.6388409234929067E-2</v>
      </c>
      <c r="N58" t="s">
        <v>76</v>
      </c>
      <c r="O58" s="2">
        <v>9</v>
      </c>
      <c r="P58" s="5">
        <v>7.9042457091237583E-2</v>
      </c>
      <c r="R58" t="s">
        <v>76</v>
      </c>
      <c r="S58" s="2">
        <v>8393</v>
      </c>
      <c r="T58" s="2">
        <v>4428</v>
      </c>
    </row>
    <row r="59" spans="1:20" x14ac:dyDescent="0.25">
      <c r="A59" s="7" t="s">
        <v>1064</v>
      </c>
      <c r="B59" s="5">
        <v>7.3194989531451427E-2</v>
      </c>
      <c r="N59" t="s">
        <v>77</v>
      </c>
      <c r="O59" s="2">
        <v>272</v>
      </c>
      <c r="P59" s="5">
        <v>8.7162276815173745E-2</v>
      </c>
      <c r="R59" t="s">
        <v>77</v>
      </c>
      <c r="S59" s="2">
        <v>77758</v>
      </c>
      <c r="T59" s="2">
        <v>53039</v>
      </c>
    </row>
    <row r="60" spans="1:20" x14ac:dyDescent="0.25">
      <c r="A60" s="7" t="s">
        <v>1065</v>
      </c>
      <c r="B60" s="5">
        <v>7.3395525708814455E-2</v>
      </c>
      <c r="N60" t="s">
        <v>78</v>
      </c>
      <c r="O60" s="2">
        <v>12</v>
      </c>
      <c r="P60" s="5">
        <v>3.7296037296037296E-2</v>
      </c>
      <c r="R60" t="s">
        <v>78</v>
      </c>
      <c r="S60" s="2">
        <v>5028</v>
      </c>
      <c r="T60" s="2">
        <v>3861</v>
      </c>
    </row>
    <row r="61" spans="1:20" x14ac:dyDescent="0.25">
      <c r="A61" s="7" t="s">
        <v>1056</v>
      </c>
      <c r="B61" s="5">
        <v>7.0992820853178207E-2</v>
      </c>
      <c r="N61" t="s">
        <v>79</v>
      </c>
      <c r="O61" s="2">
        <v>4902</v>
      </c>
      <c r="P61" s="5">
        <v>0.14025492954055022</v>
      </c>
      <c r="R61" t="s">
        <v>79</v>
      </c>
      <c r="S61" s="2">
        <v>168937</v>
      </c>
      <c r="T61" s="2">
        <v>114463</v>
      </c>
    </row>
    <row r="62" spans="1:20" x14ac:dyDescent="0.25">
      <c r="A62" s="7" t="s">
        <v>1066</v>
      </c>
      <c r="B62" s="5">
        <v>7.8825419451247783E-2</v>
      </c>
      <c r="N62" t="s">
        <v>80</v>
      </c>
      <c r="O62" s="2">
        <v>342</v>
      </c>
      <c r="P62" s="5">
        <v>7.7477568303256375E-2</v>
      </c>
      <c r="R62" t="s">
        <v>80</v>
      </c>
      <c r="S62" s="2">
        <v>93930</v>
      </c>
      <c r="T62" s="2">
        <v>59514</v>
      </c>
    </row>
    <row r="63" spans="1:20" x14ac:dyDescent="0.25">
      <c r="A63" s="7" t="s">
        <v>1067</v>
      </c>
      <c r="B63" s="5">
        <v>7.4794047809084038E-2</v>
      </c>
      <c r="N63" t="s">
        <v>81</v>
      </c>
      <c r="O63" s="2">
        <v>26</v>
      </c>
      <c r="P63" s="5">
        <v>5.9970014992503748E-2</v>
      </c>
      <c r="R63" t="s">
        <v>81</v>
      </c>
      <c r="S63" s="2">
        <v>5838</v>
      </c>
      <c r="T63" s="2">
        <v>4002</v>
      </c>
    </row>
    <row r="64" spans="1:20" x14ac:dyDescent="0.25">
      <c r="A64" s="7" t="s">
        <v>1068</v>
      </c>
      <c r="B64" s="5">
        <v>7.5222111585613621E-2</v>
      </c>
      <c r="N64" t="s">
        <v>82</v>
      </c>
      <c r="O64" s="2">
        <v>55</v>
      </c>
      <c r="P64" s="5">
        <v>7.5390250283422E-2</v>
      </c>
      <c r="R64" t="s">
        <v>82</v>
      </c>
      <c r="S64" s="2">
        <v>37520</v>
      </c>
      <c r="T64" s="2">
        <v>22934</v>
      </c>
    </row>
    <row r="65" spans="1:20" x14ac:dyDescent="0.25">
      <c r="A65" s="7" t="s">
        <v>1069</v>
      </c>
      <c r="B65" s="5">
        <v>6.9807067365660072E-2</v>
      </c>
      <c r="N65" t="s">
        <v>83</v>
      </c>
      <c r="O65" s="2">
        <v>436</v>
      </c>
      <c r="P65" s="5">
        <v>0.15427993059572007</v>
      </c>
      <c r="R65" t="s">
        <v>83</v>
      </c>
      <c r="S65" s="2">
        <v>71516</v>
      </c>
      <c r="T65" s="2">
        <v>27664</v>
      </c>
    </row>
    <row r="66" spans="1:20" x14ac:dyDescent="0.25">
      <c r="A66" s="7" t="s">
        <v>1070</v>
      </c>
      <c r="B66" s="5">
        <v>6.752967908380636E-2</v>
      </c>
      <c r="N66" t="s">
        <v>84</v>
      </c>
      <c r="O66" s="2">
        <v>6033</v>
      </c>
      <c r="P66" s="5">
        <v>0.11418841521934306</v>
      </c>
      <c r="R66" t="s">
        <v>84</v>
      </c>
      <c r="S66" s="2">
        <v>299132</v>
      </c>
      <c r="T66" s="2">
        <v>161505</v>
      </c>
    </row>
    <row r="67" spans="1:20" x14ac:dyDescent="0.25">
      <c r="A67" s="7" t="s">
        <v>1071</v>
      </c>
      <c r="B67" s="5">
        <v>6.8705422434371013E-2</v>
      </c>
      <c r="N67" t="s">
        <v>85</v>
      </c>
      <c r="O67" s="2">
        <v>43</v>
      </c>
      <c r="P67" s="5">
        <v>2.0089721084454847E-2</v>
      </c>
      <c r="R67" t="s">
        <v>85</v>
      </c>
      <c r="S67" s="2">
        <v>8127</v>
      </c>
      <c r="T67" s="2">
        <v>5127</v>
      </c>
    </row>
    <row r="68" spans="1:20" x14ac:dyDescent="0.25">
      <c r="A68" s="7" t="s">
        <v>1072</v>
      </c>
      <c r="B68" s="5">
        <v>6.5486829409938371E-2</v>
      </c>
      <c r="N68" t="s">
        <v>86</v>
      </c>
      <c r="O68" s="2">
        <v>6009</v>
      </c>
      <c r="P68" s="5">
        <v>0.13536798471979519</v>
      </c>
      <c r="R68" t="s">
        <v>86</v>
      </c>
      <c r="S68" s="2">
        <v>407702</v>
      </c>
      <c r="T68" s="2">
        <v>147642</v>
      </c>
    </row>
    <row r="69" spans="1:20" x14ac:dyDescent="0.25">
      <c r="A69" s="7" t="s">
        <v>1037</v>
      </c>
      <c r="B69" s="5">
        <v>7.180188866757134E-2</v>
      </c>
      <c r="N69" t="s">
        <v>87</v>
      </c>
      <c r="O69" s="2">
        <v>4175</v>
      </c>
      <c r="P69" s="5">
        <v>0.13702749392439903</v>
      </c>
      <c r="R69" t="s">
        <v>87</v>
      </c>
      <c r="S69" s="2">
        <v>535523</v>
      </c>
      <c r="T69" s="2">
        <v>341530</v>
      </c>
    </row>
    <row r="70" spans="1:20" x14ac:dyDescent="0.25">
      <c r="N70" t="s">
        <v>88</v>
      </c>
      <c r="O70" s="2">
        <v>53</v>
      </c>
      <c r="P70" s="5">
        <v>5.0671286271113038E-2</v>
      </c>
      <c r="R70" t="s">
        <v>88</v>
      </c>
      <c r="S70" s="2">
        <v>15843</v>
      </c>
      <c r="T70" s="2">
        <v>11545</v>
      </c>
    </row>
    <row r="71" spans="1:20" x14ac:dyDescent="0.25">
      <c r="A71" s="6" t="s">
        <v>1041</v>
      </c>
      <c r="B71" s="6" t="s">
        <v>1073</v>
      </c>
      <c r="N71" t="s">
        <v>89</v>
      </c>
      <c r="O71" s="2">
        <v>197</v>
      </c>
      <c r="P71" s="5">
        <v>4.8415739788765302E-2</v>
      </c>
      <c r="R71" t="s">
        <v>89</v>
      </c>
      <c r="S71" s="2">
        <v>11965</v>
      </c>
      <c r="T71" s="2">
        <v>10699</v>
      </c>
    </row>
    <row r="72" spans="1:20" x14ac:dyDescent="0.25">
      <c r="A72" s="6" t="s">
        <v>1036</v>
      </c>
      <c r="B72" t="s">
        <v>1054</v>
      </c>
      <c r="C72" t="s">
        <v>1055</v>
      </c>
      <c r="N72" t="s">
        <v>90</v>
      </c>
      <c r="O72" s="2">
        <v>37</v>
      </c>
      <c r="P72" s="5">
        <v>6.1848850669753597E-2</v>
      </c>
      <c r="R72" t="s">
        <v>90</v>
      </c>
      <c r="S72" s="2">
        <v>11571</v>
      </c>
      <c r="T72" s="2">
        <v>6047</v>
      </c>
    </row>
    <row r="73" spans="1:20" x14ac:dyDescent="0.25">
      <c r="A73" s="7" t="s">
        <v>1062</v>
      </c>
      <c r="B73" s="5">
        <v>6.3789385373388019E-2</v>
      </c>
      <c r="C73" s="5">
        <v>7.6154008031850851E-2</v>
      </c>
      <c r="N73" t="s">
        <v>91</v>
      </c>
      <c r="O73" s="2">
        <v>156</v>
      </c>
      <c r="P73" s="5">
        <v>5.6390370011310392E-2</v>
      </c>
      <c r="R73" t="s">
        <v>91</v>
      </c>
      <c r="S73" s="2">
        <v>15181</v>
      </c>
      <c r="T73" s="2">
        <v>6189</v>
      </c>
    </row>
    <row r="74" spans="1:20" x14ac:dyDescent="0.25">
      <c r="A74" s="7" t="s">
        <v>1063</v>
      </c>
      <c r="B74" s="5">
        <v>8.6460916272044219E-2</v>
      </c>
      <c r="C74" s="5">
        <v>6.9433582947397113E-2</v>
      </c>
      <c r="N74" t="s">
        <v>92</v>
      </c>
      <c r="O74" s="2">
        <v>27</v>
      </c>
      <c r="P74" s="5">
        <v>3.0642504118616146E-2</v>
      </c>
      <c r="R74" t="s">
        <v>92</v>
      </c>
      <c r="S74" s="2">
        <v>5673</v>
      </c>
      <c r="T74" s="2">
        <v>3035</v>
      </c>
    </row>
    <row r="75" spans="1:20" x14ac:dyDescent="0.25">
      <c r="A75" s="7" t="s">
        <v>1064</v>
      </c>
      <c r="B75" s="5">
        <v>7.0982995443035449E-2</v>
      </c>
      <c r="C75" s="5">
        <v>7.5456139044054404E-2</v>
      </c>
      <c r="N75" t="s">
        <v>93</v>
      </c>
      <c r="O75" s="2">
        <v>4153</v>
      </c>
      <c r="P75" s="5">
        <v>0.13222603206559921</v>
      </c>
      <c r="R75" t="s">
        <v>93</v>
      </c>
      <c r="S75" s="2">
        <v>262599</v>
      </c>
      <c r="T75" s="2">
        <v>95367</v>
      </c>
    </row>
    <row r="76" spans="1:20" x14ac:dyDescent="0.25">
      <c r="A76" s="7" t="s">
        <v>1065</v>
      </c>
      <c r="B76" s="5">
        <v>6.7345418612169999E-2</v>
      </c>
      <c r="C76" s="5">
        <v>7.8359716147086853E-2</v>
      </c>
      <c r="N76" t="s">
        <v>94</v>
      </c>
      <c r="O76" s="2">
        <v>64</v>
      </c>
      <c r="P76" s="5">
        <v>4.0325950689511073E-2</v>
      </c>
      <c r="R76" t="s">
        <v>94</v>
      </c>
      <c r="S76" s="2">
        <v>12143</v>
      </c>
      <c r="T76" s="2">
        <v>9572</v>
      </c>
    </row>
    <row r="77" spans="1:20" x14ac:dyDescent="0.25">
      <c r="A77" s="7" t="s">
        <v>1056</v>
      </c>
      <c r="B77" s="5">
        <v>6.8543395728494771E-2</v>
      </c>
      <c r="C77" s="5">
        <v>7.3157429102898464E-2</v>
      </c>
      <c r="N77" t="s">
        <v>95</v>
      </c>
      <c r="O77" s="2">
        <v>3892</v>
      </c>
      <c r="P77" s="5">
        <v>0.14815423016290069</v>
      </c>
      <c r="R77" t="s">
        <v>95</v>
      </c>
      <c r="S77" s="2">
        <v>358986</v>
      </c>
      <c r="T77" s="2">
        <v>121792</v>
      </c>
    </row>
    <row r="78" spans="1:20" x14ac:dyDescent="0.25">
      <c r="A78" s="7" t="s">
        <v>1066</v>
      </c>
      <c r="B78" s="5">
        <v>7.393904730021815E-2</v>
      </c>
      <c r="C78" s="5">
        <v>8.3592611793715729E-2</v>
      </c>
      <c r="N78" t="s">
        <v>96</v>
      </c>
      <c r="O78" s="2">
        <v>37</v>
      </c>
      <c r="P78" s="5">
        <v>5.4709418837675348E-2</v>
      </c>
      <c r="R78" t="s">
        <v>96</v>
      </c>
      <c r="S78" s="2">
        <v>12649</v>
      </c>
      <c r="T78" s="2">
        <v>4990</v>
      </c>
    </row>
    <row r="79" spans="1:20" x14ac:dyDescent="0.25">
      <c r="A79" s="7" t="s">
        <v>1067</v>
      </c>
      <c r="B79" s="5">
        <v>7.895516550065379E-2</v>
      </c>
      <c r="C79" s="5">
        <v>7.1425523963527651E-2</v>
      </c>
      <c r="N79" t="s">
        <v>97</v>
      </c>
      <c r="O79" s="2">
        <v>347</v>
      </c>
      <c r="P79" s="5">
        <v>9.869348461406223E-2</v>
      </c>
      <c r="R79" t="s">
        <v>97</v>
      </c>
      <c r="S79" s="2">
        <v>92618</v>
      </c>
      <c r="T79" s="2">
        <v>58170</v>
      </c>
    </row>
    <row r="80" spans="1:20" x14ac:dyDescent="0.25">
      <c r="A80" s="7" t="s">
        <v>1068</v>
      </c>
      <c r="B80" s="5">
        <v>7.3858914238337764E-2</v>
      </c>
      <c r="C80" s="5">
        <v>7.7807485864929971E-2</v>
      </c>
      <c r="N80" t="s">
        <v>98</v>
      </c>
      <c r="O80" s="2">
        <v>595</v>
      </c>
      <c r="P80" s="5">
        <v>2.6502877593461333E-2</v>
      </c>
      <c r="R80" t="s">
        <v>98</v>
      </c>
      <c r="S80" s="2">
        <v>49374</v>
      </c>
      <c r="T80" s="2">
        <v>41354</v>
      </c>
    </row>
    <row r="81" spans="1:20" x14ac:dyDescent="0.25">
      <c r="A81" s="7" t="s">
        <v>1069</v>
      </c>
      <c r="B81" s="5">
        <v>7.1878406174236784E-2</v>
      </c>
      <c r="C81" s="5">
        <v>6.7367490546669712E-2</v>
      </c>
      <c r="N81" t="s">
        <v>99</v>
      </c>
      <c r="O81" s="2">
        <v>253</v>
      </c>
      <c r="P81" s="5">
        <v>9.1153050899652463E-2</v>
      </c>
      <c r="R81" t="s">
        <v>99</v>
      </c>
      <c r="S81" s="2">
        <v>36161</v>
      </c>
      <c r="T81" s="2">
        <v>22731</v>
      </c>
    </row>
    <row r="82" spans="1:20" x14ac:dyDescent="0.25">
      <c r="A82" s="7" t="s">
        <v>1070</v>
      </c>
      <c r="B82" s="5">
        <v>6.6139797322388963E-2</v>
      </c>
      <c r="C82" s="5">
        <v>6.8919560845223729E-2</v>
      </c>
      <c r="N82" t="s">
        <v>100</v>
      </c>
      <c r="O82" s="2">
        <v>1036</v>
      </c>
      <c r="P82" s="5">
        <v>4.5518902468794246E-2</v>
      </c>
      <c r="R82" t="s">
        <v>100</v>
      </c>
      <c r="S82" s="2">
        <v>70967</v>
      </c>
      <c r="T82" s="2">
        <v>61447</v>
      </c>
    </row>
    <row r="83" spans="1:20" x14ac:dyDescent="0.25">
      <c r="A83" s="7" t="s">
        <v>1071</v>
      </c>
      <c r="B83" s="5">
        <v>6.7611722508268704E-2</v>
      </c>
      <c r="C83" s="5">
        <v>6.9621078186456672E-2</v>
      </c>
      <c r="N83" t="s">
        <v>101</v>
      </c>
      <c r="O83" s="2">
        <v>64</v>
      </c>
      <c r="P83" s="5">
        <v>6.8860164512338423E-2</v>
      </c>
      <c r="R83" t="s">
        <v>101</v>
      </c>
      <c r="S83" s="2">
        <v>21460</v>
      </c>
      <c r="T83" s="2">
        <v>12765</v>
      </c>
    </row>
    <row r="84" spans="1:20" x14ac:dyDescent="0.25">
      <c r="A84" s="7" t="s">
        <v>1072</v>
      </c>
      <c r="B84" s="5">
        <v>6.7925104486181317E-2</v>
      </c>
      <c r="C84" s="5">
        <v>6.2937723648411714E-2</v>
      </c>
      <c r="N84" t="s">
        <v>102</v>
      </c>
      <c r="O84" s="2">
        <v>435</v>
      </c>
      <c r="P84" s="5">
        <v>5.9877175025588536E-2</v>
      </c>
      <c r="R84" t="s">
        <v>102</v>
      </c>
      <c r="S84" s="2">
        <v>50767</v>
      </c>
      <c r="T84" s="2">
        <v>17586</v>
      </c>
    </row>
    <row r="85" spans="1:20" x14ac:dyDescent="0.25">
      <c r="A85" s="7" t="s">
        <v>1037</v>
      </c>
      <c r="B85" s="5">
        <v>7.1035299920419195E-2</v>
      </c>
      <c r="C85" s="5">
        <v>7.2568477414723442E-2</v>
      </c>
      <c r="N85" t="s">
        <v>103</v>
      </c>
      <c r="O85" s="2">
        <v>58</v>
      </c>
      <c r="P85" s="5">
        <v>4.2949507389162561E-2</v>
      </c>
      <c r="R85" t="s">
        <v>103</v>
      </c>
      <c r="S85" s="2">
        <v>9624</v>
      </c>
      <c r="T85" s="2">
        <v>6496</v>
      </c>
    </row>
    <row r="86" spans="1:20" x14ac:dyDescent="0.25">
      <c r="N86" t="s">
        <v>104</v>
      </c>
      <c r="O86" s="2">
        <v>463</v>
      </c>
      <c r="P86" s="5">
        <v>3.8112805590917356E-2</v>
      </c>
      <c r="R86" t="s">
        <v>104</v>
      </c>
      <c r="S86" s="2">
        <v>50240</v>
      </c>
      <c r="T86" s="2">
        <v>38491</v>
      </c>
    </row>
    <row r="87" spans="1:20" x14ac:dyDescent="0.25">
      <c r="A87" s="6" t="s">
        <v>1041</v>
      </c>
      <c r="C87" s="6" t="s">
        <v>1</v>
      </c>
      <c r="N87" t="s">
        <v>105</v>
      </c>
      <c r="O87" s="2">
        <v>65</v>
      </c>
      <c r="P87" s="5">
        <v>6.2758361518226224E-2</v>
      </c>
      <c r="R87" t="s">
        <v>105</v>
      </c>
      <c r="S87" s="2">
        <v>17356</v>
      </c>
      <c r="T87" s="2">
        <v>10644</v>
      </c>
    </row>
    <row r="88" spans="1:20" x14ac:dyDescent="0.25">
      <c r="A88" s="6" t="s">
        <v>0</v>
      </c>
      <c r="B88" s="6" t="s">
        <v>3</v>
      </c>
      <c r="C88" t="s">
        <v>11</v>
      </c>
      <c r="D88" t="s">
        <v>14</v>
      </c>
      <c r="E88" t="s">
        <v>26</v>
      </c>
      <c r="F88" t="s">
        <v>20</v>
      </c>
      <c r="G88" t="s">
        <v>17</v>
      </c>
      <c r="N88" t="s">
        <v>106</v>
      </c>
      <c r="O88" s="2">
        <v>34</v>
      </c>
      <c r="P88" s="5">
        <v>5.8240396530359353E-2</v>
      </c>
      <c r="R88" t="s">
        <v>106</v>
      </c>
      <c r="S88" s="2">
        <v>5440</v>
      </c>
      <c r="T88" s="2">
        <v>4035</v>
      </c>
    </row>
    <row r="89" spans="1:20" x14ac:dyDescent="0.25">
      <c r="A89" t="s">
        <v>397</v>
      </c>
      <c r="B89" t="s">
        <v>24</v>
      </c>
      <c r="C89" s="5">
        <v>0</v>
      </c>
      <c r="D89" s="5">
        <v>0</v>
      </c>
      <c r="E89" s="5">
        <v>0</v>
      </c>
      <c r="F89" s="5">
        <v>0.17753850263533716</v>
      </c>
      <c r="G89" s="5">
        <v>0</v>
      </c>
      <c r="N89" t="s">
        <v>107</v>
      </c>
      <c r="O89" s="2">
        <v>36</v>
      </c>
      <c r="P89" s="5">
        <v>8.0839184989064117E-2</v>
      </c>
      <c r="R89" t="s">
        <v>107</v>
      </c>
      <c r="S89" s="2">
        <v>68920</v>
      </c>
      <c r="T89" s="2">
        <v>34748</v>
      </c>
    </row>
    <row r="90" spans="1:20" x14ac:dyDescent="0.25">
      <c r="A90" t="s">
        <v>392</v>
      </c>
      <c r="B90" t="s">
        <v>24</v>
      </c>
      <c r="C90" s="5">
        <v>0</v>
      </c>
      <c r="D90" s="5">
        <v>0</v>
      </c>
      <c r="E90" s="5">
        <v>0</v>
      </c>
      <c r="F90" s="5">
        <v>0.17767321109849099</v>
      </c>
      <c r="G90" s="5">
        <v>0</v>
      </c>
      <c r="N90" t="s">
        <v>108</v>
      </c>
      <c r="O90" s="2">
        <v>135</v>
      </c>
      <c r="P90" s="5">
        <v>6.0931624587522062E-2</v>
      </c>
      <c r="R90" t="s">
        <v>108</v>
      </c>
      <c r="S90" s="2">
        <v>19972</v>
      </c>
      <c r="T90" s="2">
        <v>13031</v>
      </c>
    </row>
    <row r="91" spans="1:20" x14ac:dyDescent="0.25">
      <c r="A91" t="s">
        <v>969</v>
      </c>
      <c r="B91" t="s">
        <v>24</v>
      </c>
      <c r="C91" s="5">
        <v>0</v>
      </c>
      <c r="D91" s="5">
        <v>0</v>
      </c>
      <c r="E91" s="5">
        <v>0</v>
      </c>
      <c r="F91" s="5">
        <v>0.17913952352751716</v>
      </c>
      <c r="G91" s="5">
        <v>0</v>
      </c>
      <c r="N91" t="s">
        <v>109</v>
      </c>
      <c r="O91" s="2">
        <v>1411</v>
      </c>
      <c r="P91" s="5">
        <v>0.1348064762698909</v>
      </c>
      <c r="R91" t="s">
        <v>109</v>
      </c>
      <c r="S91" s="2">
        <v>108139</v>
      </c>
      <c r="T91" s="2">
        <v>43173</v>
      </c>
    </row>
    <row r="92" spans="1:20" x14ac:dyDescent="0.25">
      <c r="A92" t="s">
        <v>487</v>
      </c>
      <c r="B92" t="s">
        <v>18</v>
      </c>
      <c r="C92" s="5">
        <v>0</v>
      </c>
      <c r="D92" s="5">
        <v>0</v>
      </c>
      <c r="E92" s="5">
        <v>0</v>
      </c>
      <c r="F92" s="5">
        <v>0.17990334298236291</v>
      </c>
      <c r="G92" s="5">
        <v>0</v>
      </c>
      <c r="N92" t="s">
        <v>110</v>
      </c>
      <c r="O92" s="2">
        <v>329</v>
      </c>
      <c r="P92" s="5">
        <v>2.9545209031003564E-2</v>
      </c>
      <c r="R92" t="s">
        <v>110</v>
      </c>
      <c r="S92" s="2">
        <v>22108</v>
      </c>
      <c r="T92" s="2">
        <v>18514</v>
      </c>
    </row>
    <row r="93" spans="1:20" x14ac:dyDescent="0.25">
      <c r="A93" t="s">
        <v>932</v>
      </c>
      <c r="B93" t="s">
        <v>24</v>
      </c>
      <c r="C93" s="5">
        <v>0</v>
      </c>
      <c r="D93" s="5">
        <v>0</v>
      </c>
      <c r="E93" s="5">
        <v>0</v>
      </c>
      <c r="F93" s="5">
        <v>0.18024279933349202</v>
      </c>
      <c r="G93" s="5">
        <v>0</v>
      </c>
      <c r="N93" t="s">
        <v>111</v>
      </c>
      <c r="O93" s="2">
        <v>61</v>
      </c>
      <c r="P93" s="5">
        <v>4.9119647859143654E-2</v>
      </c>
      <c r="R93" t="s">
        <v>111</v>
      </c>
      <c r="S93" s="2">
        <v>16372</v>
      </c>
      <c r="T93" s="2">
        <v>9996</v>
      </c>
    </row>
    <row r="94" spans="1:20" x14ac:dyDescent="0.25">
      <c r="A94" t="s">
        <v>890</v>
      </c>
      <c r="B94" t="s">
        <v>24</v>
      </c>
      <c r="C94" s="5">
        <v>0</v>
      </c>
      <c r="D94" s="5">
        <v>0</v>
      </c>
      <c r="E94" s="5">
        <v>0</v>
      </c>
      <c r="F94" s="5">
        <v>0.18217789912981708</v>
      </c>
      <c r="G94" s="5">
        <v>0</v>
      </c>
      <c r="N94" t="s">
        <v>112</v>
      </c>
      <c r="O94" s="2">
        <v>421</v>
      </c>
      <c r="P94" s="5">
        <v>7.3991279520152275E-2</v>
      </c>
      <c r="R94" t="s">
        <v>112</v>
      </c>
      <c r="S94" s="2">
        <v>108397</v>
      </c>
      <c r="T94" s="2">
        <v>45181</v>
      </c>
    </row>
    <row r="95" spans="1:20" x14ac:dyDescent="0.25">
      <c r="A95" t="s">
        <v>484</v>
      </c>
      <c r="B95" t="s">
        <v>24</v>
      </c>
      <c r="C95" s="5">
        <v>0</v>
      </c>
      <c r="D95" s="5">
        <v>0</v>
      </c>
      <c r="E95" s="5">
        <v>0</v>
      </c>
      <c r="F95" s="5">
        <v>0.18251740629215321</v>
      </c>
      <c r="G95" s="5">
        <v>0</v>
      </c>
      <c r="N95" t="s">
        <v>113</v>
      </c>
      <c r="O95" s="2">
        <v>139</v>
      </c>
      <c r="P95" s="5">
        <v>4.6917102551909971E-2</v>
      </c>
      <c r="R95" t="s">
        <v>113</v>
      </c>
      <c r="S95" s="2">
        <v>16567</v>
      </c>
      <c r="T95" s="2">
        <v>12618</v>
      </c>
    </row>
    <row r="96" spans="1:20" x14ac:dyDescent="0.25">
      <c r="A96" t="s">
        <v>721</v>
      </c>
      <c r="B96" t="s">
        <v>24</v>
      </c>
      <c r="C96" s="5">
        <v>0</v>
      </c>
      <c r="D96" s="5">
        <v>0</v>
      </c>
      <c r="E96" s="5">
        <v>0</v>
      </c>
      <c r="F96" s="5">
        <v>0.18367803242034655</v>
      </c>
      <c r="G96" s="5">
        <v>0</v>
      </c>
      <c r="N96" t="s">
        <v>114</v>
      </c>
      <c r="O96" s="2">
        <v>849</v>
      </c>
      <c r="P96" s="5">
        <v>0.13790730711178195</v>
      </c>
      <c r="R96" t="s">
        <v>114</v>
      </c>
      <c r="S96" s="2">
        <v>96621</v>
      </c>
      <c r="T96" s="2">
        <v>45052</v>
      </c>
    </row>
    <row r="97" spans="1:20" x14ac:dyDescent="0.25">
      <c r="A97" t="s">
        <v>985</v>
      </c>
      <c r="B97" t="s">
        <v>18</v>
      </c>
      <c r="C97" s="5">
        <v>0</v>
      </c>
      <c r="D97" s="5">
        <v>0</v>
      </c>
      <c r="E97" s="5">
        <v>0</v>
      </c>
      <c r="F97" s="5">
        <v>0.18428703447624573</v>
      </c>
      <c r="G97" s="5">
        <v>0</v>
      </c>
      <c r="N97" t="s">
        <v>115</v>
      </c>
      <c r="O97" s="2">
        <v>3770</v>
      </c>
      <c r="P97" s="5">
        <v>0.17239114613841702</v>
      </c>
      <c r="R97" t="s">
        <v>115</v>
      </c>
      <c r="S97" s="2">
        <v>296961</v>
      </c>
      <c r="T97" s="2">
        <v>112674</v>
      </c>
    </row>
    <row r="98" spans="1:20" x14ac:dyDescent="0.25">
      <c r="A98" t="s">
        <v>443</v>
      </c>
      <c r="B98" t="s">
        <v>24</v>
      </c>
      <c r="C98" s="5">
        <v>0</v>
      </c>
      <c r="D98" s="5">
        <v>0</v>
      </c>
      <c r="E98" s="5">
        <v>0</v>
      </c>
      <c r="F98" s="5">
        <v>0.19337736613017512</v>
      </c>
      <c r="G98" s="5">
        <v>0</v>
      </c>
      <c r="N98" t="s">
        <v>116</v>
      </c>
      <c r="O98" s="2">
        <v>919</v>
      </c>
      <c r="P98" s="5">
        <v>0.11818429076542079</v>
      </c>
      <c r="R98" t="s">
        <v>116</v>
      </c>
      <c r="S98" s="2">
        <v>119866</v>
      </c>
      <c r="T98" s="2">
        <v>69857</v>
      </c>
    </row>
    <row r="99" spans="1:20" x14ac:dyDescent="0.25">
      <c r="N99" t="s">
        <v>117</v>
      </c>
      <c r="O99" s="2">
        <v>110</v>
      </c>
      <c r="P99" s="5">
        <v>8.7158291639475013E-2</v>
      </c>
      <c r="R99" t="s">
        <v>117</v>
      </c>
      <c r="S99" s="2">
        <v>33648</v>
      </c>
      <c r="T99" s="2">
        <v>13791</v>
      </c>
    </row>
    <row r="100" spans="1:20" x14ac:dyDescent="0.25">
      <c r="A100" s="6" t="s">
        <v>1041</v>
      </c>
      <c r="C100" s="6" t="s">
        <v>1</v>
      </c>
      <c r="N100" t="s">
        <v>118</v>
      </c>
      <c r="O100" s="2">
        <v>407</v>
      </c>
      <c r="P100" s="5">
        <v>5.4928937365724677E-2</v>
      </c>
      <c r="R100" t="s">
        <v>118</v>
      </c>
      <c r="S100" s="2">
        <v>77225</v>
      </c>
      <c r="T100" s="2">
        <v>48408</v>
      </c>
    </row>
    <row r="101" spans="1:20" x14ac:dyDescent="0.25">
      <c r="A101" s="6" t="s">
        <v>0</v>
      </c>
      <c r="B101" s="6" t="s">
        <v>3</v>
      </c>
      <c r="C101" t="s">
        <v>11</v>
      </c>
      <c r="D101" t="s">
        <v>14</v>
      </c>
      <c r="E101" t="s">
        <v>26</v>
      </c>
      <c r="F101" t="s">
        <v>20</v>
      </c>
      <c r="G101" t="s">
        <v>17</v>
      </c>
      <c r="N101" t="s">
        <v>119</v>
      </c>
      <c r="O101" s="2">
        <v>6</v>
      </c>
      <c r="P101" s="5">
        <v>4.5576407506702415E-2</v>
      </c>
      <c r="R101" t="s">
        <v>119</v>
      </c>
      <c r="S101" s="2">
        <v>730</v>
      </c>
      <c r="T101" s="2">
        <v>373</v>
      </c>
    </row>
    <row r="102" spans="1:20" x14ac:dyDescent="0.25">
      <c r="A102" t="s">
        <v>85</v>
      </c>
      <c r="B102" t="s">
        <v>12</v>
      </c>
      <c r="C102" s="5">
        <v>0</v>
      </c>
      <c r="D102" s="5">
        <v>0</v>
      </c>
      <c r="E102" s="5">
        <v>0</v>
      </c>
      <c r="F102" s="5">
        <v>0</v>
      </c>
      <c r="G102" s="5">
        <v>2.0089721084454847E-2</v>
      </c>
      <c r="N102" t="s">
        <v>120</v>
      </c>
      <c r="O102" s="2">
        <v>3171</v>
      </c>
      <c r="P102" s="5">
        <v>7.8337000795917405E-2</v>
      </c>
      <c r="R102" t="s">
        <v>120</v>
      </c>
      <c r="S102" s="2">
        <v>302206</v>
      </c>
      <c r="T102" s="2">
        <v>106795</v>
      </c>
    </row>
    <row r="103" spans="1:20" x14ac:dyDescent="0.25">
      <c r="A103" t="s">
        <v>643</v>
      </c>
      <c r="B103" t="s">
        <v>15</v>
      </c>
      <c r="C103" s="5">
        <v>0</v>
      </c>
      <c r="D103" s="5">
        <v>0</v>
      </c>
      <c r="E103" s="5">
        <v>0</v>
      </c>
      <c r="F103" s="5">
        <v>0</v>
      </c>
      <c r="G103" s="5">
        <v>1.948051948051948E-2</v>
      </c>
      <c r="N103" t="s">
        <v>121</v>
      </c>
      <c r="O103" s="2">
        <v>10070</v>
      </c>
      <c r="P103" s="5">
        <v>0.10456157396162254</v>
      </c>
      <c r="R103" t="s">
        <v>121</v>
      </c>
      <c r="S103" s="2">
        <v>543651</v>
      </c>
      <c r="T103" s="2">
        <v>205850</v>
      </c>
    </row>
    <row r="104" spans="1:20" x14ac:dyDescent="0.25">
      <c r="A104" t="s">
        <v>706</v>
      </c>
      <c r="B104" t="s">
        <v>12</v>
      </c>
      <c r="C104" s="5">
        <v>0</v>
      </c>
      <c r="D104" s="5">
        <v>0</v>
      </c>
      <c r="E104" s="5">
        <v>0</v>
      </c>
      <c r="F104" s="5">
        <v>0</v>
      </c>
      <c r="G104" s="5">
        <v>1.8358531317494601E-2</v>
      </c>
      <c r="N104" t="s">
        <v>122</v>
      </c>
      <c r="O104" s="2">
        <v>30</v>
      </c>
      <c r="P104" s="5">
        <v>7.2042171026942603E-2</v>
      </c>
      <c r="R104" t="s">
        <v>122</v>
      </c>
      <c r="S104" s="2">
        <v>11879</v>
      </c>
      <c r="T104" s="2">
        <v>5122</v>
      </c>
    </row>
    <row r="105" spans="1:20" x14ac:dyDescent="0.25">
      <c r="A105" t="s">
        <v>639</v>
      </c>
      <c r="B105" t="s">
        <v>15</v>
      </c>
      <c r="C105" s="5">
        <v>0</v>
      </c>
      <c r="D105" s="5">
        <v>0</v>
      </c>
      <c r="E105" s="5">
        <v>0</v>
      </c>
      <c r="F105" s="5">
        <v>0</v>
      </c>
      <c r="G105" s="5">
        <v>1.8343093351705132E-2</v>
      </c>
      <c r="N105" t="s">
        <v>123</v>
      </c>
      <c r="O105" s="2">
        <v>68</v>
      </c>
      <c r="P105" s="5">
        <v>4.5208870030812746E-2</v>
      </c>
      <c r="R105" t="s">
        <v>123</v>
      </c>
      <c r="S105" s="2">
        <v>42983</v>
      </c>
      <c r="T105" s="2">
        <v>19797</v>
      </c>
    </row>
    <row r="106" spans="1:20" x14ac:dyDescent="0.25">
      <c r="A106" t="s">
        <v>783</v>
      </c>
      <c r="B106" t="s">
        <v>15</v>
      </c>
      <c r="C106" s="5">
        <v>0</v>
      </c>
      <c r="D106" s="5">
        <v>0</v>
      </c>
      <c r="E106" s="5">
        <v>0</v>
      </c>
      <c r="F106" s="5">
        <v>0</v>
      </c>
      <c r="G106" s="5">
        <v>1.7892046308825741E-2</v>
      </c>
      <c r="N106" t="s">
        <v>124</v>
      </c>
      <c r="O106" s="2">
        <v>53</v>
      </c>
      <c r="P106" s="5">
        <v>9.148766905330151E-2</v>
      </c>
      <c r="R106" t="s">
        <v>124</v>
      </c>
      <c r="S106" s="2">
        <v>5423</v>
      </c>
      <c r="T106" s="2">
        <v>3771</v>
      </c>
    </row>
    <row r="107" spans="1:20" x14ac:dyDescent="0.25">
      <c r="A107" t="s">
        <v>517</v>
      </c>
      <c r="B107" t="s">
        <v>18</v>
      </c>
      <c r="C107" s="5">
        <v>0</v>
      </c>
      <c r="D107" s="5">
        <v>0</v>
      </c>
      <c r="E107" s="5">
        <v>0</v>
      </c>
      <c r="F107" s="5">
        <v>0</v>
      </c>
      <c r="G107" s="5">
        <v>1.7007706617060855E-2</v>
      </c>
      <c r="N107" t="s">
        <v>125</v>
      </c>
      <c r="O107" s="2">
        <v>90</v>
      </c>
      <c r="P107" s="5">
        <v>8.0835985826677073E-2</v>
      </c>
      <c r="R107" t="s">
        <v>125</v>
      </c>
      <c r="S107" s="2">
        <v>27596</v>
      </c>
      <c r="T107" s="2">
        <v>16651</v>
      </c>
    </row>
    <row r="108" spans="1:20" x14ac:dyDescent="0.25">
      <c r="A108" t="s">
        <v>588</v>
      </c>
      <c r="B108" t="s">
        <v>12</v>
      </c>
      <c r="C108" s="5">
        <v>0</v>
      </c>
      <c r="D108" s="5">
        <v>0</v>
      </c>
      <c r="E108" s="5">
        <v>0</v>
      </c>
      <c r="F108" s="5">
        <v>0</v>
      </c>
      <c r="G108" s="5">
        <v>1.6206896551724137E-2</v>
      </c>
      <c r="N108" t="s">
        <v>126</v>
      </c>
      <c r="O108" s="2">
        <v>2381</v>
      </c>
      <c r="P108" s="5">
        <v>0.11877954866695911</v>
      </c>
      <c r="R108" t="s">
        <v>126</v>
      </c>
      <c r="S108" s="2">
        <v>175808</v>
      </c>
      <c r="T108" s="2">
        <v>61551</v>
      </c>
    </row>
    <row r="109" spans="1:20" x14ac:dyDescent="0.25">
      <c r="A109" t="s">
        <v>733</v>
      </c>
      <c r="B109" t="s">
        <v>15</v>
      </c>
      <c r="C109" s="5">
        <v>0</v>
      </c>
      <c r="D109" s="5">
        <v>0</v>
      </c>
      <c r="E109" s="5">
        <v>0</v>
      </c>
      <c r="F109" s="5">
        <v>0</v>
      </c>
      <c r="G109" s="5">
        <v>1.3577606249418768E-2</v>
      </c>
      <c r="N109" t="s">
        <v>127</v>
      </c>
      <c r="O109" s="2">
        <v>178</v>
      </c>
      <c r="P109" s="5">
        <v>5.885389778007228E-2</v>
      </c>
      <c r="R109" t="s">
        <v>127</v>
      </c>
      <c r="S109" s="2">
        <v>49085</v>
      </c>
      <c r="T109" s="2">
        <v>21307</v>
      </c>
    </row>
    <row r="110" spans="1:20" x14ac:dyDescent="0.25">
      <c r="A110" t="s">
        <v>762</v>
      </c>
      <c r="B110" t="s">
        <v>15</v>
      </c>
      <c r="C110" s="5">
        <v>0</v>
      </c>
      <c r="D110" s="5">
        <v>0</v>
      </c>
      <c r="E110" s="5">
        <v>0</v>
      </c>
      <c r="F110" s="5">
        <v>0</v>
      </c>
      <c r="G110" s="5">
        <v>1.3555787278415016E-2</v>
      </c>
      <c r="N110" t="s">
        <v>128</v>
      </c>
      <c r="O110" s="2">
        <v>159</v>
      </c>
      <c r="P110" s="5">
        <v>7.4227144982641755E-2</v>
      </c>
      <c r="R110" t="s">
        <v>128</v>
      </c>
      <c r="S110" s="2">
        <v>32982</v>
      </c>
      <c r="T110" s="2">
        <v>18147</v>
      </c>
    </row>
    <row r="111" spans="1:20" x14ac:dyDescent="0.25">
      <c r="A111" t="s">
        <v>269</v>
      </c>
      <c r="B111" t="s">
        <v>12</v>
      </c>
      <c r="C111" s="5">
        <v>0</v>
      </c>
      <c r="D111" s="5">
        <v>0</v>
      </c>
      <c r="E111" s="5">
        <v>0</v>
      </c>
      <c r="F111" s="5">
        <v>0</v>
      </c>
      <c r="G111" s="5">
        <v>1.2706313859051611E-2</v>
      </c>
      <c r="N111" t="s">
        <v>129</v>
      </c>
      <c r="O111" s="2">
        <v>131</v>
      </c>
      <c r="P111" s="5">
        <v>4.5563149413791186E-2</v>
      </c>
      <c r="R111" t="s">
        <v>129</v>
      </c>
      <c r="S111" s="2">
        <v>36143</v>
      </c>
      <c r="T111" s="2">
        <v>17997</v>
      </c>
    </row>
    <row r="112" spans="1:20" x14ac:dyDescent="0.25">
      <c r="N112" t="s">
        <v>130</v>
      </c>
      <c r="O112" s="2">
        <v>159</v>
      </c>
      <c r="P112" s="5">
        <v>4.3295526512752605E-2</v>
      </c>
      <c r="R112" t="s">
        <v>130</v>
      </c>
      <c r="S112" s="2">
        <v>26260</v>
      </c>
      <c r="T112" s="2">
        <v>17369</v>
      </c>
    </row>
    <row r="113" spans="1:20" x14ac:dyDescent="0.25">
      <c r="A113" s="6" t="s">
        <v>0</v>
      </c>
      <c r="B113" s="6" t="s">
        <v>1</v>
      </c>
      <c r="C113" t="s">
        <v>1041</v>
      </c>
      <c r="D113" t="s">
        <v>1077</v>
      </c>
      <c r="N113" t="s">
        <v>131</v>
      </c>
      <c r="O113" s="2">
        <v>10913</v>
      </c>
      <c r="P113" s="5">
        <v>0.16837032827171067</v>
      </c>
      <c r="R113" t="s">
        <v>131</v>
      </c>
      <c r="S113" s="2">
        <v>380871</v>
      </c>
      <c r="T113" s="2">
        <v>249854</v>
      </c>
    </row>
    <row r="114" spans="1:20" x14ac:dyDescent="0.25">
      <c r="A114" t="s">
        <v>397</v>
      </c>
      <c r="B114" t="s">
        <v>20</v>
      </c>
      <c r="C114" s="5">
        <v>0.17753850263533716</v>
      </c>
      <c r="D114" s="22">
        <v>1</v>
      </c>
      <c r="G114" s="17" t="str">
        <f>INDEX(B114:B123,MATCH(MAX(D114:D123),D114:D123,0))</f>
        <v>TikTok</v>
      </c>
      <c r="N114" t="s">
        <v>132</v>
      </c>
      <c r="O114" s="2">
        <v>132</v>
      </c>
      <c r="P114" s="5">
        <v>6.3837920489296637E-2</v>
      </c>
      <c r="R114" t="s">
        <v>132</v>
      </c>
      <c r="S114" s="2">
        <v>8059</v>
      </c>
      <c r="T114" s="2">
        <v>5232</v>
      </c>
    </row>
    <row r="115" spans="1:20" x14ac:dyDescent="0.25">
      <c r="A115" t="s">
        <v>392</v>
      </c>
      <c r="B115" t="s">
        <v>20</v>
      </c>
      <c r="C115" s="5">
        <v>0.17767321109849099</v>
      </c>
      <c r="D115" s="22">
        <v>1</v>
      </c>
      <c r="N115" t="s">
        <v>133</v>
      </c>
      <c r="O115" s="2">
        <v>73</v>
      </c>
      <c r="P115" s="5">
        <v>3.1333333333333331E-2</v>
      </c>
      <c r="R115" t="s">
        <v>133</v>
      </c>
      <c r="S115" s="2">
        <v>5867</v>
      </c>
      <c r="T115" s="2">
        <v>4500</v>
      </c>
    </row>
    <row r="116" spans="1:20" x14ac:dyDescent="0.25">
      <c r="A116" t="s">
        <v>969</v>
      </c>
      <c r="B116" t="s">
        <v>20</v>
      </c>
      <c r="C116" s="5">
        <v>0.17913952352751716</v>
      </c>
      <c r="D116" s="22">
        <v>1</v>
      </c>
      <c r="N116" t="s">
        <v>134</v>
      </c>
      <c r="O116" s="2">
        <v>1772</v>
      </c>
      <c r="P116" s="5">
        <v>0.14920626795574807</v>
      </c>
      <c r="R116" t="s">
        <v>134</v>
      </c>
      <c r="S116" s="2">
        <v>257439</v>
      </c>
      <c r="T116" s="2">
        <v>156287</v>
      </c>
    </row>
    <row r="117" spans="1:20" x14ac:dyDescent="0.25">
      <c r="A117" t="s">
        <v>487</v>
      </c>
      <c r="B117" t="s">
        <v>20</v>
      </c>
      <c r="C117" s="5">
        <v>0.17990334298236291</v>
      </c>
      <c r="D117" s="22">
        <v>1</v>
      </c>
      <c r="N117" t="s">
        <v>135</v>
      </c>
      <c r="O117" s="2">
        <v>3138</v>
      </c>
      <c r="P117" s="5">
        <v>9.0463743946634173E-2</v>
      </c>
      <c r="R117" t="s">
        <v>135</v>
      </c>
      <c r="S117" s="2">
        <v>280763</v>
      </c>
      <c r="T117" s="2">
        <v>124724</v>
      </c>
    </row>
    <row r="118" spans="1:20" x14ac:dyDescent="0.25">
      <c r="A118" t="s">
        <v>932</v>
      </c>
      <c r="B118" t="s">
        <v>20</v>
      </c>
      <c r="C118" s="5">
        <v>0.18024279933349202</v>
      </c>
      <c r="D118" s="22">
        <v>1</v>
      </c>
      <c r="N118" t="s">
        <v>136</v>
      </c>
      <c r="O118" s="2">
        <v>190</v>
      </c>
      <c r="P118" s="5">
        <v>4.0346217255907674E-2</v>
      </c>
      <c r="R118" t="s">
        <v>136</v>
      </c>
      <c r="S118" s="2">
        <v>29237</v>
      </c>
      <c r="T118" s="2">
        <v>21836</v>
      </c>
    </row>
    <row r="119" spans="1:20" x14ac:dyDescent="0.25">
      <c r="A119" t="s">
        <v>890</v>
      </c>
      <c r="B119" t="s">
        <v>20</v>
      </c>
      <c r="C119" s="5">
        <v>0.18217789912981708</v>
      </c>
      <c r="D119" s="22">
        <v>1</v>
      </c>
      <c r="N119" t="s">
        <v>137</v>
      </c>
      <c r="O119" s="2">
        <v>95</v>
      </c>
      <c r="P119" s="5">
        <v>6.8502661420967365E-2</v>
      </c>
      <c r="R119" t="s">
        <v>137</v>
      </c>
      <c r="S119" s="2">
        <v>7249</v>
      </c>
      <c r="T119" s="2">
        <v>4321</v>
      </c>
    </row>
    <row r="120" spans="1:20" x14ac:dyDescent="0.25">
      <c r="A120" t="s">
        <v>484</v>
      </c>
      <c r="B120" t="s">
        <v>20</v>
      </c>
      <c r="C120" s="5">
        <v>0.18251740629215321</v>
      </c>
      <c r="D120" s="22">
        <v>1</v>
      </c>
      <c r="N120" t="s">
        <v>138</v>
      </c>
      <c r="O120" s="2">
        <v>3</v>
      </c>
      <c r="P120" s="5">
        <v>6.0150375939849621E-2</v>
      </c>
      <c r="R120" t="s">
        <v>138</v>
      </c>
      <c r="S120" s="2">
        <v>424</v>
      </c>
      <c r="T120" s="2">
        <v>266</v>
      </c>
    </row>
    <row r="121" spans="1:20" x14ac:dyDescent="0.25">
      <c r="A121" t="s">
        <v>721</v>
      </c>
      <c r="B121" t="s">
        <v>20</v>
      </c>
      <c r="C121" s="5">
        <v>0.18367803242034655</v>
      </c>
      <c r="D121" s="22">
        <v>1</v>
      </c>
      <c r="N121" t="s">
        <v>139</v>
      </c>
      <c r="O121" s="2">
        <v>1395</v>
      </c>
      <c r="P121" s="5">
        <v>8.2465315768742609E-2</v>
      </c>
      <c r="R121" t="s">
        <v>139</v>
      </c>
      <c r="S121" s="2">
        <v>291125</v>
      </c>
      <c r="T121" s="2">
        <v>91396</v>
      </c>
    </row>
    <row r="122" spans="1:20" x14ac:dyDescent="0.25">
      <c r="A122" t="s">
        <v>985</v>
      </c>
      <c r="B122" t="s">
        <v>20</v>
      </c>
      <c r="C122" s="5">
        <v>0.18428703447624573</v>
      </c>
      <c r="D122" s="22">
        <v>1</v>
      </c>
      <c r="N122" t="s">
        <v>140</v>
      </c>
      <c r="O122" s="2">
        <v>233</v>
      </c>
      <c r="P122" s="5">
        <v>6.148464827050136E-2</v>
      </c>
      <c r="R122" t="s">
        <v>140</v>
      </c>
      <c r="S122" s="2">
        <v>21641</v>
      </c>
      <c r="T122" s="2">
        <v>12865</v>
      </c>
    </row>
    <row r="123" spans="1:20" x14ac:dyDescent="0.25">
      <c r="A123" t="s">
        <v>443</v>
      </c>
      <c r="B123" t="s">
        <v>20</v>
      </c>
      <c r="C123" s="5">
        <v>0.19337736613017512</v>
      </c>
      <c r="D123" s="22">
        <v>1</v>
      </c>
      <c r="N123" t="s">
        <v>141</v>
      </c>
      <c r="O123" s="2">
        <v>195</v>
      </c>
      <c r="P123" s="5">
        <v>7.3973607038123168E-2</v>
      </c>
      <c r="R123" t="s">
        <v>141</v>
      </c>
      <c r="S123" s="2">
        <v>20634</v>
      </c>
      <c r="T123" s="2">
        <v>13640</v>
      </c>
    </row>
    <row r="124" spans="1:20" x14ac:dyDescent="0.25">
      <c r="N124" t="s">
        <v>142</v>
      </c>
      <c r="O124" s="2">
        <v>628</v>
      </c>
      <c r="P124" s="5">
        <v>0.14690553745928339</v>
      </c>
      <c r="R124" t="s">
        <v>142</v>
      </c>
      <c r="S124" s="2">
        <v>75797</v>
      </c>
      <c r="T124" s="2">
        <v>46050</v>
      </c>
    </row>
    <row r="125" spans="1:20" x14ac:dyDescent="0.25">
      <c r="A125" s="6" t="s">
        <v>0</v>
      </c>
      <c r="B125" s="6" t="s">
        <v>3</v>
      </c>
      <c r="C125" t="s">
        <v>1041</v>
      </c>
      <c r="D125" t="s">
        <v>1078</v>
      </c>
      <c r="N125" t="s">
        <v>143</v>
      </c>
      <c r="O125" s="2">
        <v>216</v>
      </c>
      <c r="P125" s="5">
        <v>8.2530454946275186E-2</v>
      </c>
      <c r="R125" t="s">
        <v>143</v>
      </c>
      <c r="S125" s="2">
        <v>68263</v>
      </c>
      <c r="T125" s="2">
        <v>30619</v>
      </c>
    </row>
    <row r="126" spans="1:20" x14ac:dyDescent="0.25">
      <c r="A126" t="s">
        <v>397</v>
      </c>
      <c r="B126" t="s">
        <v>24</v>
      </c>
      <c r="C126" s="5">
        <v>0.17753850263533716</v>
      </c>
      <c r="D126" s="22">
        <v>1</v>
      </c>
      <c r="G126" s="17" t="str">
        <f>INDEX(B126:B135,MATCH(MAX(D126:D135),D126:D135,0))</f>
        <v>Reel</v>
      </c>
      <c r="N126" t="s">
        <v>144</v>
      </c>
      <c r="O126" s="2">
        <v>107</v>
      </c>
      <c r="P126" s="5">
        <v>2.779309584206463E-2</v>
      </c>
      <c r="R126" t="s">
        <v>144</v>
      </c>
      <c r="S126" s="2">
        <v>11209</v>
      </c>
      <c r="T126" s="2">
        <v>9067</v>
      </c>
    </row>
    <row r="127" spans="1:20" x14ac:dyDescent="0.25">
      <c r="A127" t="s">
        <v>392</v>
      </c>
      <c r="B127" t="s">
        <v>24</v>
      </c>
      <c r="C127" s="5">
        <v>0.17767321109849099</v>
      </c>
      <c r="D127" s="22">
        <v>1</v>
      </c>
      <c r="N127" t="s">
        <v>145</v>
      </c>
      <c r="O127" s="2">
        <v>295</v>
      </c>
      <c r="P127" s="5">
        <v>0.10214477211796247</v>
      </c>
      <c r="R127" t="s">
        <v>145</v>
      </c>
      <c r="S127" s="2">
        <v>23196</v>
      </c>
      <c r="T127" s="2">
        <v>7460</v>
      </c>
    </row>
    <row r="128" spans="1:20" x14ac:dyDescent="0.25">
      <c r="A128" t="s">
        <v>969</v>
      </c>
      <c r="B128" t="s">
        <v>24</v>
      </c>
      <c r="C128" s="5">
        <v>0.17913952352751716</v>
      </c>
      <c r="D128" s="22">
        <v>1</v>
      </c>
      <c r="N128" t="s">
        <v>146</v>
      </c>
      <c r="O128" s="2">
        <v>219</v>
      </c>
      <c r="P128" s="5">
        <v>8.3311054671835319E-2</v>
      </c>
      <c r="R128" t="s">
        <v>146</v>
      </c>
      <c r="S128" s="2">
        <v>94201</v>
      </c>
      <c r="T128" s="2">
        <v>59848</v>
      </c>
    </row>
    <row r="129" spans="1:20" x14ac:dyDescent="0.25">
      <c r="A129" t="s">
        <v>487</v>
      </c>
      <c r="B129" t="s">
        <v>18</v>
      </c>
      <c r="C129" s="5">
        <v>0.17990334298236291</v>
      </c>
      <c r="D129" s="22">
        <v>1</v>
      </c>
      <c r="N129" t="s">
        <v>147</v>
      </c>
      <c r="O129" s="2">
        <v>5699</v>
      </c>
      <c r="P129" s="5">
        <v>0.17538987757590124</v>
      </c>
      <c r="R129" t="s">
        <v>147</v>
      </c>
      <c r="S129" s="2">
        <v>367485</v>
      </c>
      <c r="T129" s="2">
        <v>118114</v>
      </c>
    </row>
    <row r="130" spans="1:20" x14ac:dyDescent="0.25">
      <c r="A130" t="s">
        <v>932</v>
      </c>
      <c r="B130" t="s">
        <v>24</v>
      </c>
      <c r="C130" s="5">
        <v>0.18024279933349202</v>
      </c>
      <c r="D130" s="22">
        <v>1</v>
      </c>
      <c r="N130" t="s">
        <v>148</v>
      </c>
      <c r="O130" s="2">
        <v>211</v>
      </c>
      <c r="P130" s="5">
        <v>4.9844676645015532E-2</v>
      </c>
      <c r="R130" t="s">
        <v>148</v>
      </c>
      <c r="S130" s="2">
        <v>29086</v>
      </c>
      <c r="T130" s="2">
        <v>14164</v>
      </c>
    </row>
    <row r="131" spans="1:20" x14ac:dyDescent="0.25">
      <c r="A131" t="s">
        <v>890</v>
      </c>
      <c r="B131" t="s">
        <v>24</v>
      </c>
      <c r="C131" s="5">
        <v>0.18217789912981708</v>
      </c>
      <c r="D131" s="22">
        <v>1</v>
      </c>
      <c r="N131" t="s">
        <v>149</v>
      </c>
      <c r="O131" s="2">
        <v>5883</v>
      </c>
      <c r="P131" s="5">
        <v>0.10735695923799134</v>
      </c>
      <c r="R131" t="s">
        <v>149</v>
      </c>
      <c r="S131" s="2">
        <v>340086</v>
      </c>
      <c r="T131" s="2">
        <v>198003</v>
      </c>
    </row>
    <row r="132" spans="1:20" x14ac:dyDescent="0.25">
      <c r="A132" t="s">
        <v>484</v>
      </c>
      <c r="B132" t="s">
        <v>24</v>
      </c>
      <c r="C132" s="5">
        <v>0.18251740629215321</v>
      </c>
      <c r="D132" s="22">
        <v>1</v>
      </c>
      <c r="N132" t="s">
        <v>150</v>
      </c>
      <c r="O132" s="2">
        <v>215</v>
      </c>
      <c r="P132" s="5">
        <v>6.9421211107393771E-2</v>
      </c>
      <c r="R132" t="s">
        <v>150</v>
      </c>
      <c r="S132" s="2">
        <v>32142</v>
      </c>
      <c r="T132" s="2">
        <v>17934</v>
      </c>
    </row>
    <row r="133" spans="1:20" x14ac:dyDescent="0.25">
      <c r="A133" t="s">
        <v>721</v>
      </c>
      <c r="B133" t="s">
        <v>24</v>
      </c>
      <c r="C133" s="5">
        <v>0.18367803242034655</v>
      </c>
      <c r="D133" s="22">
        <v>1</v>
      </c>
      <c r="N133" t="s">
        <v>151</v>
      </c>
      <c r="O133" s="2">
        <v>194</v>
      </c>
      <c r="P133" s="5">
        <v>9.6326758207290725E-2</v>
      </c>
      <c r="R133" t="s">
        <v>151</v>
      </c>
      <c r="S133" s="2">
        <v>30650</v>
      </c>
      <c r="T133" s="2">
        <v>14347</v>
      </c>
    </row>
    <row r="134" spans="1:20" x14ac:dyDescent="0.25">
      <c r="A134" t="s">
        <v>985</v>
      </c>
      <c r="B134" t="s">
        <v>18</v>
      </c>
      <c r="C134" s="5">
        <v>0.18428703447624573</v>
      </c>
      <c r="D134" s="22">
        <v>1</v>
      </c>
      <c r="N134" t="s">
        <v>152</v>
      </c>
      <c r="O134" s="2">
        <v>220</v>
      </c>
      <c r="P134" s="5">
        <v>5.3514459195224864E-2</v>
      </c>
      <c r="R134" t="s">
        <v>152</v>
      </c>
      <c r="S134" s="2">
        <v>27037</v>
      </c>
      <c r="T134" s="2">
        <v>9717</v>
      </c>
    </row>
    <row r="135" spans="1:20" x14ac:dyDescent="0.25">
      <c r="A135" t="s">
        <v>443</v>
      </c>
      <c r="B135" t="s">
        <v>24</v>
      </c>
      <c r="C135" s="5">
        <v>0.19337736613017512</v>
      </c>
      <c r="D135" s="22">
        <v>1</v>
      </c>
      <c r="N135" t="s">
        <v>153</v>
      </c>
      <c r="O135" s="2">
        <v>26</v>
      </c>
      <c r="P135" s="5">
        <v>7.230740109786106E-2</v>
      </c>
      <c r="R135" t="s">
        <v>153</v>
      </c>
      <c r="S135" s="2">
        <v>23100</v>
      </c>
      <c r="T135" s="2">
        <v>10566</v>
      </c>
    </row>
    <row r="136" spans="1:20" x14ac:dyDescent="0.25">
      <c r="N136" t="s">
        <v>154</v>
      </c>
      <c r="O136" s="2">
        <v>81</v>
      </c>
      <c r="P136" s="5">
        <v>6.5870232354230604E-2</v>
      </c>
      <c r="R136" t="s">
        <v>154</v>
      </c>
      <c r="S136" s="2">
        <v>16363</v>
      </c>
      <c r="T136" s="2">
        <v>9124</v>
      </c>
    </row>
    <row r="137" spans="1:20" x14ac:dyDescent="0.25">
      <c r="N137" t="s">
        <v>155</v>
      </c>
      <c r="O137" s="2">
        <v>1648</v>
      </c>
      <c r="P137" s="5">
        <v>0.12277726634042346</v>
      </c>
      <c r="R137" t="s">
        <v>155</v>
      </c>
      <c r="S137" s="2">
        <v>93162</v>
      </c>
      <c r="T137" s="2">
        <v>41278</v>
      </c>
    </row>
    <row r="138" spans="1:20" x14ac:dyDescent="0.25">
      <c r="N138" t="s">
        <v>156</v>
      </c>
      <c r="O138" s="2">
        <v>297</v>
      </c>
      <c r="P138" s="5">
        <v>6.5497998985401054E-2</v>
      </c>
      <c r="R138" t="s">
        <v>156</v>
      </c>
      <c r="S138" s="2">
        <v>75048</v>
      </c>
      <c r="T138" s="2">
        <v>35482</v>
      </c>
    </row>
    <row r="139" spans="1:20" x14ac:dyDescent="0.25">
      <c r="N139" t="s">
        <v>157</v>
      </c>
      <c r="O139" s="2">
        <v>217</v>
      </c>
      <c r="P139" s="5">
        <v>8.3499479244160096E-2</v>
      </c>
      <c r="R139" t="s">
        <v>157</v>
      </c>
      <c r="S139" s="2">
        <v>44099</v>
      </c>
      <c r="T139" s="2">
        <v>33605</v>
      </c>
    </row>
    <row r="140" spans="1:20" x14ac:dyDescent="0.25">
      <c r="N140" t="s">
        <v>158</v>
      </c>
      <c r="O140" s="2">
        <v>4114</v>
      </c>
      <c r="P140" s="5">
        <v>0.12513741444195695</v>
      </c>
      <c r="R140" t="s">
        <v>158</v>
      </c>
      <c r="S140" s="2">
        <v>239851</v>
      </c>
      <c r="T140" s="2">
        <v>124623</v>
      </c>
    </row>
    <row r="141" spans="1:20" x14ac:dyDescent="0.25">
      <c r="N141" t="s">
        <v>159</v>
      </c>
      <c r="O141" s="2">
        <v>137</v>
      </c>
      <c r="P141" s="5">
        <v>2.3815461346633416E-2</v>
      </c>
      <c r="R141" t="s">
        <v>159</v>
      </c>
      <c r="S141" s="2">
        <v>18718</v>
      </c>
      <c r="T141" s="2">
        <v>16040</v>
      </c>
    </row>
    <row r="142" spans="1:20" x14ac:dyDescent="0.25">
      <c r="N142" t="s">
        <v>160</v>
      </c>
      <c r="O142" s="2">
        <v>93</v>
      </c>
      <c r="P142" s="5">
        <v>7.3044641771074073E-2</v>
      </c>
      <c r="R142" t="s">
        <v>160</v>
      </c>
      <c r="S142" s="2">
        <v>22710</v>
      </c>
      <c r="T142" s="2">
        <v>16442</v>
      </c>
    </row>
    <row r="143" spans="1:20" x14ac:dyDescent="0.25">
      <c r="N143" t="s">
        <v>161</v>
      </c>
      <c r="O143" s="2">
        <v>7722</v>
      </c>
      <c r="P143" s="5">
        <v>0.12997113353778533</v>
      </c>
      <c r="R143" t="s">
        <v>161</v>
      </c>
      <c r="S143" s="2">
        <v>334929</v>
      </c>
      <c r="T143" s="2">
        <v>222057</v>
      </c>
    </row>
    <row r="144" spans="1:20" x14ac:dyDescent="0.25">
      <c r="N144" t="s">
        <v>162</v>
      </c>
      <c r="O144" s="2">
        <v>2501</v>
      </c>
      <c r="P144" s="5">
        <v>0.1112339078228143</v>
      </c>
      <c r="R144" t="s">
        <v>162</v>
      </c>
      <c r="S144" s="2">
        <v>116642</v>
      </c>
      <c r="T144" s="2">
        <v>66958</v>
      </c>
    </row>
    <row r="145" spans="14:20" x14ac:dyDescent="0.25">
      <c r="N145" t="s">
        <v>163</v>
      </c>
      <c r="O145" s="2">
        <v>3281</v>
      </c>
      <c r="P145" s="5">
        <v>7.9858317161294393E-2</v>
      </c>
      <c r="R145" t="s">
        <v>163</v>
      </c>
      <c r="S145" s="2">
        <v>343312</v>
      </c>
      <c r="T145" s="2">
        <v>126762</v>
      </c>
    </row>
    <row r="146" spans="14:20" x14ac:dyDescent="0.25">
      <c r="N146" t="s">
        <v>164</v>
      </c>
      <c r="O146" s="2">
        <v>105</v>
      </c>
      <c r="P146" s="5">
        <v>2.7428013665202537E-2</v>
      </c>
      <c r="R146" t="s">
        <v>164</v>
      </c>
      <c r="S146" s="2">
        <v>15197</v>
      </c>
      <c r="T146" s="2">
        <v>10245</v>
      </c>
    </row>
    <row r="147" spans="14:20" x14ac:dyDescent="0.25">
      <c r="N147" t="s">
        <v>165</v>
      </c>
      <c r="O147" s="2">
        <v>1917</v>
      </c>
      <c r="P147" s="5">
        <v>7.6117227979274615E-2</v>
      </c>
      <c r="R147" t="s">
        <v>165</v>
      </c>
      <c r="S147" s="2">
        <v>293856</v>
      </c>
      <c r="T147" s="2">
        <v>123520</v>
      </c>
    </row>
    <row r="148" spans="14:20" x14ac:dyDescent="0.25">
      <c r="N148" t="s">
        <v>166</v>
      </c>
      <c r="O148" s="2">
        <v>9</v>
      </c>
      <c r="P148" s="5">
        <v>7.9740557039297971E-2</v>
      </c>
      <c r="R148" t="s">
        <v>166</v>
      </c>
      <c r="S148" s="2">
        <v>5511</v>
      </c>
      <c r="T148" s="2">
        <v>2621</v>
      </c>
    </row>
    <row r="149" spans="14:20" x14ac:dyDescent="0.25">
      <c r="N149" t="s">
        <v>167</v>
      </c>
      <c r="O149" s="2">
        <v>456</v>
      </c>
      <c r="P149" s="5">
        <v>6.1406896551724141E-2</v>
      </c>
      <c r="R149" t="s">
        <v>167</v>
      </c>
      <c r="S149" s="2">
        <v>27066</v>
      </c>
      <c r="T149" s="2">
        <v>18125</v>
      </c>
    </row>
    <row r="150" spans="14:20" x14ac:dyDescent="0.25">
      <c r="N150" t="s">
        <v>168</v>
      </c>
      <c r="O150" s="2">
        <v>230</v>
      </c>
      <c r="P150" s="5">
        <v>4.3027515784550628E-2</v>
      </c>
      <c r="R150" t="s">
        <v>168</v>
      </c>
      <c r="S150" s="2">
        <v>19890</v>
      </c>
      <c r="T150" s="2">
        <v>12829</v>
      </c>
    </row>
    <row r="151" spans="14:20" x14ac:dyDescent="0.25">
      <c r="N151" t="s">
        <v>169</v>
      </c>
      <c r="O151" s="2">
        <v>189</v>
      </c>
      <c r="P151" s="5">
        <v>6.2391895231035333E-2</v>
      </c>
      <c r="R151" t="s">
        <v>169</v>
      </c>
      <c r="S151" s="2">
        <v>25081</v>
      </c>
      <c r="T151" s="2">
        <v>8094</v>
      </c>
    </row>
    <row r="152" spans="14:20" x14ac:dyDescent="0.25">
      <c r="N152" t="s">
        <v>170</v>
      </c>
      <c r="O152" s="2">
        <v>483</v>
      </c>
      <c r="P152" s="5">
        <v>7.6223719457748196E-2</v>
      </c>
      <c r="R152" t="s">
        <v>170</v>
      </c>
      <c r="S152" s="2">
        <v>104239</v>
      </c>
      <c r="T152" s="2">
        <v>49276</v>
      </c>
    </row>
    <row r="153" spans="14:20" x14ac:dyDescent="0.25">
      <c r="N153" t="s">
        <v>171</v>
      </c>
      <c r="O153" s="2">
        <v>4351</v>
      </c>
      <c r="P153" s="5">
        <v>0.10417448232741182</v>
      </c>
      <c r="R153" t="s">
        <v>171</v>
      </c>
      <c r="S153" s="2">
        <v>384927</v>
      </c>
      <c r="T153" s="2">
        <v>135945</v>
      </c>
    </row>
    <row r="154" spans="14:20" x14ac:dyDescent="0.25">
      <c r="N154" t="s">
        <v>172</v>
      </c>
      <c r="O154" s="2">
        <v>155</v>
      </c>
      <c r="P154" s="5">
        <v>5.1542484650951265E-2</v>
      </c>
      <c r="R154" t="s">
        <v>172</v>
      </c>
      <c r="S154" s="2">
        <v>20119</v>
      </c>
      <c r="T154" s="2">
        <v>13193</v>
      </c>
    </row>
    <row r="155" spans="14:20" x14ac:dyDescent="0.25">
      <c r="N155" t="s">
        <v>173</v>
      </c>
      <c r="O155" s="2">
        <v>14</v>
      </c>
      <c r="P155" s="5">
        <v>4.1071428571428571E-2</v>
      </c>
      <c r="R155" t="s">
        <v>173</v>
      </c>
      <c r="S155" s="2">
        <v>3246</v>
      </c>
      <c r="T155" s="2">
        <v>1680</v>
      </c>
    </row>
    <row r="156" spans="14:20" x14ac:dyDescent="0.25">
      <c r="N156" t="s">
        <v>174</v>
      </c>
      <c r="O156" s="2">
        <v>701</v>
      </c>
      <c r="P156" s="5">
        <v>0.14388296447135737</v>
      </c>
      <c r="R156" t="s">
        <v>174</v>
      </c>
      <c r="S156" s="2">
        <v>30091</v>
      </c>
      <c r="T156" s="2">
        <v>18661</v>
      </c>
    </row>
    <row r="157" spans="14:20" x14ac:dyDescent="0.25">
      <c r="N157" t="s">
        <v>175</v>
      </c>
      <c r="O157" s="2">
        <v>67</v>
      </c>
      <c r="P157" s="5">
        <v>7.9171210468920394E-2</v>
      </c>
      <c r="R157" t="s">
        <v>175</v>
      </c>
      <c r="S157" s="2">
        <v>11667</v>
      </c>
      <c r="T157" s="2">
        <v>9170</v>
      </c>
    </row>
    <row r="158" spans="14:20" x14ac:dyDescent="0.25">
      <c r="N158" t="s">
        <v>176</v>
      </c>
      <c r="O158" s="2">
        <v>2239</v>
      </c>
      <c r="P158" s="5">
        <v>0.13413963716327654</v>
      </c>
      <c r="R158" t="s">
        <v>176</v>
      </c>
      <c r="S158" s="2">
        <v>194808</v>
      </c>
      <c r="T158" s="2">
        <v>132787</v>
      </c>
    </row>
    <row r="159" spans="14:20" x14ac:dyDescent="0.25">
      <c r="N159" t="s">
        <v>177</v>
      </c>
      <c r="O159" s="2">
        <v>6381</v>
      </c>
      <c r="P159" s="5">
        <v>7.5988377610179986E-2</v>
      </c>
      <c r="R159" t="s">
        <v>177</v>
      </c>
      <c r="S159" s="2">
        <v>408495</v>
      </c>
      <c r="T159" s="2">
        <v>221297</v>
      </c>
    </row>
    <row r="160" spans="14:20" x14ac:dyDescent="0.25">
      <c r="N160" t="s">
        <v>178</v>
      </c>
      <c r="O160" s="2">
        <v>60</v>
      </c>
      <c r="P160" s="5">
        <v>9.5501896790510021E-2</v>
      </c>
      <c r="R160" t="s">
        <v>178</v>
      </c>
      <c r="S160" s="2">
        <v>26303</v>
      </c>
      <c r="T160" s="2">
        <v>16607</v>
      </c>
    </row>
    <row r="161" spans="14:20" x14ac:dyDescent="0.25">
      <c r="N161" t="s">
        <v>179</v>
      </c>
      <c r="O161" s="2">
        <v>37</v>
      </c>
      <c r="P161" s="5">
        <v>7.8876490958060791E-2</v>
      </c>
      <c r="R161" t="s">
        <v>179</v>
      </c>
      <c r="S161" s="2">
        <v>11727</v>
      </c>
      <c r="T161" s="2">
        <v>5198</v>
      </c>
    </row>
    <row r="162" spans="14:20" x14ac:dyDescent="0.25">
      <c r="N162" t="s">
        <v>180</v>
      </c>
      <c r="O162" s="2">
        <v>4</v>
      </c>
      <c r="P162" s="5">
        <v>3.9855072463768113E-2</v>
      </c>
      <c r="R162" t="s">
        <v>180</v>
      </c>
      <c r="S162" s="2">
        <v>471</v>
      </c>
      <c r="T162" s="2">
        <v>276</v>
      </c>
    </row>
    <row r="163" spans="14:20" x14ac:dyDescent="0.25">
      <c r="N163" t="s">
        <v>181</v>
      </c>
      <c r="O163" s="2">
        <v>165</v>
      </c>
      <c r="P163" s="5">
        <v>7.3756131744919406E-2</v>
      </c>
      <c r="R163" t="s">
        <v>181</v>
      </c>
      <c r="S163" s="2">
        <v>20026</v>
      </c>
      <c r="T163" s="2">
        <v>11416</v>
      </c>
    </row>
    <row r="164" spans="14:20" x14ac:dyDescent="0.25">
      <c r="N164" t="s">
        <v>182</v>
      </c>
      <c r="O164" s="2">
        <v>74</v>
      </c>
      <c r="P164" s="5">
        <v>5.2283770651117591E-2</v>
      </c>
      <c r="R164" t="s">
        <v>182</v>
      </c>
      <c r="S164" s="2">
        <v>20181</v>
      </c>
      <c r="T164" s="2">
        <v>15435</v>
      </c>
    </row>
    <row r="165" spans="14:20" x14ac:dyDescent="0.25">
      <c r="N165" t="s">
        <v>183</v>
      </c>
      <c r="O165" s="2">
        <v>71</v>
      </c>
      <c r="P165" s="5">
        <v>5.3946338338908266E-2</v>
      </c>
      <c r="R165" t="s">
        <v>183</v>
      </c>
      <c r="S165" s="2">
        <v>36009</v>
      </c>
      <c r="T165" s="2">
        <v>28102</v>
      </c>
    </row>
    <row r="166" spans="14:20" x14ac:dyDescent="0.25">
      <c r="N166" t="s">
        <v>184</v>
      </c>
      <c r="O166" s="2">
        <v>34</v>
      </c>
      <c r="P166" s="5">
        <v>5.1252519435646418E-2</v>
      </c>
      <c r="R166" t="s">
        <v>184</v>
      </c>
      <c r="S166" s="2">
        <v>10578</v>
      </c>
      <c r="T166" s="2">
        <v>6946</v>
      </c>
    </row>
    <row r="167" spans="14:20" x14ac:dyDescent="0.25">
      <c r="N167" t="s">
        <v>185</v>
      </c>
      <c r="O167" s="2">
        <v>139</v>
      </c>
      <c r="P167" s="5">
        <v>7.5895442137480354E-2</v>
      </c>
      <c r="R167" t="s">
        <v>185</v>
      </c>
      <c r="S167" s="2">
        <v>48103</v>
      </c>
      <c r="T167" s="2">
        <v>24178</v>
      </c>
    </row>
    <row r="168" spans="14:20" x14ac:dyDescent="0.25">
      <c r="N168" t="s">
        <v>186</v>
      </c>
      <c r="O168" s="2">
        <v>81</v>
      </c>
      <c r="P168" s="5">
        <v>3.9226181373298669E-2</v>
      </c>
      <c r="R168" t="s">
        <v>186</v>
      </c>
      <c r="S168" s="2">
        <v>14655</v>
      </c>
      <c r="T168" s="2">
        <v>13078</v>
      </c>
    </row>
    <row r="169" spans="14:20" x14ac:dyDescent="0.25">
      <c r="N169" t="s">
        <v>187</v>
      </c>
      <c r="O169" s="2">
        <v>867</v>
      </c>
      <c r="P169" s="5">
        <v>7.5479566305254375E-2</v>
      </c>
      <c r="R169" t="s">
        <v>187</v>
      </c>
      <c r="S169" s="2">
        <v>93884</v>
      </c>
      <c r="T169" s="2">
        <v>52756</v>
      </c>
    </row>
    <row r="170" spans="14:20" x14ac:dyDescent="0.25">
      <c r="N170" t="s">
        <v>188</v>
      </c>
      <c r="O170" s="2">
        <v>162</v>
      </c>
      <c r="P170" s="5">
        <v>7.7775092637344931E-2</v>
      </c>
      <c r="R170" t="s">
        <v>188</v>
      </c>
      <c r="S170" s="2">
        <v>45076</v>
      </c>
      <c r="T170" s="2">
        <v>24828</v>
      </c>
    </row>
    <row r="171" spans="14:20" x14ac:dyDescent="0.25">
      <c r="N171" t="s">
        <v>189</v>
      </c>
      <c r="O171" s="2">
        <v>100</v>
      </c>
      <c r="P171" s="5">
        <v>2.2285355864664427E-2</v>
      </c>
      <c r="R171" t="s">
        <v>189</v>
      </c>
      <c r="S171" s="2">
        <v>35635</v>
      </c>
      <c r="T171" s="2">
        <v>27103</v>
      </c>
    </row>
    <row r="172" spans="14:20" x14ac:dyDescent="0.25">
      <c r="N172" t="s">
        <v>190</v>
      </c>
      <c r="O172" s="2">
        <v>13</v>
      </c>
      <c r="P172" s="5">
        <v>7.0438596491228064E-2</v>
      </c>
      <c r="R172" t="s">
        <v>190</v>
      </c>
      <c r="S172" s="2">
        <v>15434</v>
      </c>
      <c r="T172" s="2">
        <v>11400</v>
      </c>
    </row>
    <row r="173" spans="14:20" x14ac:dyDescent="0.25">
      <c r="N173" t="s">
        <v>191</v>
      </c>
      <c r="O173" s="2">
        <v>231</v>
      </c>
      <c r="P173" s="5">
        <v>4.5373521309350184E-2</v>
      </c>
      <c r="R173" t="s">
        <v>191</v>
      </c>
      <c r="S173" s="2">
        <v>21321</v>
      </c>
      <c r="T173" s="2">
        <v>12342</v>
      </c>
    </row>
    <row r="174" spans="14:20" x14ac:dyDescent="0.25">
      <c r="N174" t="s">
        <v>192</v>
      </c>
      <c r="O174" s="2">
        <v>93</v>
      </c>
      <c r="P174" s="5">
        <v>3.4672480016609573E-2</v>
      </c>
      <c r="R174" t="s">
        <v>192</v>
      </c>
      <c r="S174" s="2">
        <v>22187</v>
      </c>
      <c r="T174" s="2">
        <v>9633</v>
      </c>
    </row>
    <row r="175" spans="14:20" x14ac:dyDescent="0.25">
      <c r="N175" t="s">
        <v>193</v>
      </c>
      <c r="O175" s="2">
        <v>96</v>
      </c>
      <c r="P175" s="5">
        <v>4.0881819450258129E-2</v>
      </c>
      <c r="R175" t="s">
        <v>193</v>
      </c>
      <c r="S175" s="2">
        <v>9378</v>
      </c>
      <c r="T175" s="2">
        <v>7167</v>
      </c>
    </row>
    <row r="176" spans="14:20" x14ac:dyDescent="0.25">
      <c r="N176" t="s">
        <v>194</v>
      </c>
      <c r="O176" s="2">
        <v>227</v>
      </c>
      <c r="P176" s="5">
        <v>5.4830363113062185E-2</v>
      </c>
      <c r="R176" t="s">
        <v>194</v>
      </c>
      <c r="S176" s="2">
        <v>44531</v>
      </c>
      <c r="T176" s="2">
        <v>34397</v>
      </c>
    </row>
    <row r="177" spans="14:20" x14ac:dyDescent="0.25">
      <c r="N177" t="s">
        <v>195</v>
      </c>
      <c r="O177" s="2">
        <v>13</v>
      </c>
      <c r="P177" s="5">
        <v>5.5234954657873044E-2</v>
      </c>
      <c r="R177" t="s">
        <v>195</v>
      </c>
      <c r="S177" s="2">
        <v>1833</v>
      </c>
      <c r="T177" s="2">
        <v>1213</v>
      </c>
    </row>
    <row r="178" spans="14:20" x14ac:dyDescent="0.25">
      <c r="N178" t="s">
        <v>196</v>
      </c>
      <c r="O178" s="2">
        <v>2216</v>
      </c>
      <c r="P178" s="5">
        <v>0.11543126100892265</v>
      </c>
      <c r="R178" t="s">
        <v>196</v>
      </c>
      <c r="S178" s="2">
        <v>163262</v>
      </c>
      <c r="T178" s="2">
        <v>69262</v>
      </c>
    </row>
    <row r="179" spans="14:20" x14ac:dyDescent="0.25">
      <c r="N179" t="s">
        <v>197</v>
      </c>
      <c r="O179" s="2">
        <v>44</v>
      </c>
      <c r="P179" s="5">
        <v>6.353512278697887E-2</v>
      </c>
      <c r="R179" t="s">
        <v>197</v>
      </c>
      <c r="S179" s="2">
        <v>10011</v>
      </c>
      <c r="T179" s="2">
        <v>7004</v>
      </c>
    </row>
    <row r="180" spans="14:20" x14ac:dyDescent="0.25">
      <c r="N180" t="s">
        <v>198</v>
      </c>
      <c r="O180" s="2">
        <v>73</v>
      </c>
      <c r="P180" s="5">
        <v>3.8685524126455907E-2</v>
      </c>
      <c r="R180" t="s">
        <v>198</v>
      </c>
      <c r="S180" s="2">
        <v>6937</v>
      </c>
      <c r="T180" s="2">
        <v>4808</v>
      </c>
    </row>
    <row r="181" spans="14:20" x14ac:dyDescent="0.25">
      <c r="N181" t="s">
        <v>199</v>
      </c>
      <c r="O181" s="2">
        <v>38</v>
      </c>
      <c r="P181" s="5">
        <v>5.1462865716429107E-2</v>
      </c>
      <c r="R181" t="s">
        <v>199</v>
      </c>
      <c r="S181" s="2">
        <v>13744</v>
      </c>
      <c r="T181" s="2">
        <v>6665</v>
      </c>
    </row>
    <row r="182" spans="14:20" x14ac:dyDescent="0.25">
      <c r="N182" t="s">
        <v>200</v>
      </c>
      <c r="O182" s="2">
        <v>89</v>
      </c>
      <c r="P182" s="5">
        <v>3.5641954320348883E-2</v>
      </c>
      <c r="R182" t="s">
        <v>200</v>
      </c>
      <c r="S182" s="2">
        <v>109761</v>
      </c>
      <c r="T182" s="2">
        <v>67645</v>
      </c>
    </row>
    <row r="183" spans="14:20" x14ac:dyDescent="0.25">
      <c r="N183" t="s">
        <v>201</v>
      </c>
      <c r="O183" s="2">
        <v>111</v>
      </c>
      <c r="P183" s="5">
        <v>5.6970509383378019E-2</v>
      </c>
      <c r="R183" t="s">
        <v>201</v>
      </c>
      <c r="S183" s="2">
        <v>19511</v>
      </c>
      <c r="T183" s="2">
        <v>5968</v>
      </c>
    </row>
    <row r="184" spans="14:20" x14ac:dyDescent="0.25">
      <c r="N184" t="s">
        <v>202</v>
      </c>
      <c r="O184" s="2">
        <v>224</v>
      </c>
      <c r="P184" s="5">
        <v>4.5376648535876613E-2</v>
      </c>
      <c r="R184" t="s">
        <v>202</v>
      </c>
      <c r="S184" s="2">
        <v>44075</v>
      </c>
      <c r="T184" s="2">
        <v>26842</v>
      </c>
    </row>
    <row r="185" spans="14:20" x14ac:dyDescent="0.25">
      <c r="N185" t="s">
        <v>203</v>
      </c>
      <c r="O185" s="2">
        <v>8164</v>
      </c>
      <c r="P185" s="5">
        <v>0.13043655189564352</v>
      </c>
      <c r="R185" t="s">
        <v>203</v>
      </c>
      <c r="S185" s="2">
        <v>430687</v>
      </c>
      <c r="T185" s="2">
        <v>221165</v>
      </c>
    </row>
    <row r="186" spans="14:20" x14ac:dyDescent="0.25">
      <c r="N186" t="s">
        <v>204</v>
      </c>
      <c r="O186" s="2">
        <v>4525</v>
      </c>
      <c r="P186" s="5">
        <v>0.15596734334347398</v>
      </c>
      <c r="R186" t="s">
        <v>204</v>
      </c>
      <c r="S186" s="2">
        <v>180438</v>
      </c>
      <c r="T186" s="2">
        <v>122609</v>
      </c>
    </row>
    <row r="187" spans="14:20" x14ac:dyDescent="0.25">
      <c r="N187" t="s">
        <v>205</v>
      </c>
      <c r="O187" s="2">
        <v>35</v>
      </c>
      <c r="P187" s="5">
        <v>4.5818350539380583E-2</v>
      </c>
      <c r="R187" t="s">
        <v>205</v>
      </c>
      <c r="S187" s="2">
        <v>14797</v>
      </c>
      <c r="T187" s="2">
        <v>8621</v>
      </c>
    </row>
    <row r="188" spans="14:20" x14ac:dyDescent="0.25">
      <c r="N188" t="s">
        <v>206</v>
      </c>
      <c r="O188" s="2">
        <v>1599</v>
      </c>
      <c r="P188" s="5">
        <v>0.14573442318046106</v>
      </c>
      <c r="R188" t="s">
        <v>206</v>
      </c>
      <c r="S188" s="2">
        <v>69757</v>
      </c>
      <c r="T188" s="2">
        <v>40862</v>
      </c>
    </row>
    <row r="189" spans="14:20" x14ac:dyDescent="0.25">
      <c r="N189" t="s">
        <v>207</v>
      </c>
      <c r="O189" s="2">
        <v>100</v>
      </c>
      <c r="P189" s="5">
        <v>4.2583292070453423E-2</v>
      </c>
      <c r="R189" t="s">
        <v>207</v>
      </c>
      <c r="S189" s="2">
        <v>38300</v>
      </c>
      <c r="T189" s="2">
        <v>28274</v>
      </c>
    </row>
    <row r="190" spans="14:20" x14ac:dyDescent="0.25">
      <c r="N190" t="s">
        <v>208</v>
      </c>
      <c r="O190" s="2">
        <v>173</v>
      </c>
      <c r="P190" s="5">
        <v>8.2579952982755084E-2</v>
      </c>
      <c r="R190" t="s">
        <v>208</v>
      </c>
      <c r="S190" s="2">
        <v>81586</v>
      </c>
      <c r="T190" s="2">
        <v>63381</v>
      </c>
    </row>
    <row r="191" spans="14:20" x14ac:dyDescent="0.25">
      <c r="N191" t="s">
        <v>209</v>
      </c>
      <c r="O191" s="2">
        <v>1859</v>
      </c>
      <c r="P191" s="5">
        <v>0.14853175506487593</v>
      </c>
      <c r="R191" t="s">
        <v>209</v>
      </c>
      <c r="S191" s="2">
        <v>97177</v>
      </c>
      <c r="T191" s="2">
        <v>52716</v>
      </c>
    </row>
    <row r="192" spans="14:20" x14ac:dyDescent="0.25">
      <c r="N192" t="s">
        <v>210</v>
      </c>
      <c r="O192" s="2">
        <v>52</v>
      </c>
      <c r="P192" s="5">
        <v>5.8649789029535868E-2</v>
      </c>
      <c r="R192" t="s">
        <v>210</v>
      </c>
      <c r="S192" s="2">
        <v>18258</v>
      </c>
      <c r="T192" s="2">
        <v>9480</v>
      </c>
    </row>
    <row r="193" spans="14:20" x14ac:dyDescent="0.25">
      <c r="N193" t="s">
        <v>211</v>
      </c>
      <c r="O193" s="2">
        <v>2163</v>
      </c>
      <c r="P193" s="5">
        <v>0.14145034510903315</v>
      </c>
      <c r="R193" t="s">
        <v>211</v>
      </c>
      <c r="S193" s="2">
        <v>157187</v>
      </c>
      <c r="T193" s="2">
        <v>56359</v>
      </c>
    </row>
    <row r="194" spans="14:20" x14ac:dyDescent="0.25">
      <c r="N194" t="s">
        <v>212</v>
      </c>
      <c r="O194" s="2">
        <v>34</v>
      </c>
      <c r="P194" s="5">
        <v>8.5381302254877126E-2</v>
      </c>
      <c r="R194" t="s">
        <v>212</v>
      </c>
      <c r="S194" s="2">
        <v>8356</v>
      </c>
      <c r="T194" s="2">
        <v>3947</v>
      </c>
    </row>
    <row r="195" spans="14:20" x14ac:dyDescent="0.25">
      <c r="N195" t="s">
        <v>213</v>
      </c>
      <c r="O195" s="2">
        <v>169</v>
      </c>
      <c r="P195" s="5">
        <v>8.1464604069232921E-2</v>
      </c>
      <c r="R195" t="s">
        <v>213</v>
      </c>
      <c r="S195" s="2">
        <v>34583</v>
      </c>
      <c r="T195" s="2">
        <v>25017</v>
      </c>
    </row>
    <row r="196" spans="14:20" x14ac:dyDescent="0.25">
      <c r="N196" t="s">
        <v>214</v>
      </c>
      <c r="O196" s="2">
        <v>169</v>
      </c>
      <c r="P196" s="5">
        <v>7.6248938305922317E-2</v>
      </c>
      <c r="R196" t="s">
        <v>214</v>
      </c>
      <c r="S196" s="2">
        <v>36439</v>
      </c>
      <c r="T196" s="2">
        <v>25902</v>
      </c>
    </row>
    <row r="197" spans="14:20" x14ac:dyDescent="0.25">
      <c r="N197" t="s">
        <v>215</v>
      </c>
      <c r="O197" s="2">
        <v>34</v>
      </c>
      <c r="P197" s="5">
        <v>5.8394607843137256E-2</v>
      </c>
      <c r="R197" t="s">
        <v>215</v>
      </c>
      <c r="S197" s="2">
        <v>50268</v>
      </c>
      <c r="T197" s="2">
        <v>32640</v>
      </c>
    </row>
    <row r="198" spans="14:20" x14ac:dyDescent="0.25">
      <c r="N198" t="s">
        <v>216</v>
      </c>
      <c r="O198" s="2">
        <v>3765</v>
      </c>
      <c r="P198" s="5">
        <v>0.14465090437681338</v>
      </c>
      <c r="R198" t="s">
        <v>216</v>
      </c>
      <c r="S198" s="2">
        <v>185050</v>
      </c>
      <c r="T198" s="2">
        <v>80995</v>
      </c>
    </row>
    <row r="199" spans="14:20" x14ac:dyDescent="0.25">
      <c r="N199" t="s">
        <v>217</v>
      </c>
      <c r="O199" s="2">
        <v>68</v>
      </c>
      <c r="P199" s="5">
        <v>0.10300101729399797</v>
      </c>
      <c r="R199" t="s">
        <v>217</v>
      </c>
      <c r="S199" s="2">
        <v>8500</v>
      </c>
      <c r="T199" s="2">
        <v>3932</v>
      </c>
    </row>
    <row r="200" spans="14:20" x14ac:dyDescent="0.25">
      <c r="N200" t="s">
        <v>218</v>
      </c>
      <c r="O200" s="2">
        <v>682</v>
      </c>
      <c r="P200" s="5">
        <v>0.11136281433820031</v>
      </c>
      <c r="R200" t="s">
        <v>218</v>
      </c>
      <c r="S200" s="2">
        <v>91908</v>
      </c>
      <c r="T200" s="2">
        <v>52531</v>
      </c>
    </row>
    <row r="201" spans="14:20" x14ac:dyDescent="0.25">
      <c r="N201" t="s">
        <v>219</v>
      </c>
      <c r="O201" s="2">
        <v>6535</v>
      </c>
      <c r="P201" s="5">
        <v>0.12215424533582704</v>
      </c>
      <c r="R201" t="s">
        <v>219</v>
      </c>
      <c r="S201" s="2">
        <v>413749</v>
      </c>
      <c r="T201" s="2">
        <v>151849</v>
      </c>
    </row>
    <row r="202" spans="14:20" x14ac:dyDescent="0.25">
      <c r="N202" t="s">
        <v>220</v>
      </c>
      <c r="O202" s="2">
        <v>63</v>
      </c>
      <c r="P202" s="5">
        <v>0.11735395189003436</v>
      </c>
      <c r="R202" t="s">
        <v>220</v>
      </c>
      <c r="S202" s="2">
        <v>9232</v>
      </c>
      <c r="T202" s="2">
        <v>5820</v>
      </c>
    </row>
    <row r="203" spans="14:20" x14ac:dyDescent="0.25">
      <c r="N203" t="s">
        <v>221</v>
      </c>
      <c r="O203" s="2">
        <v>89</v>
      </c>
      <c r="P203" s="5">
        <v>7.4972261848153435E-2</v>
      </c>
      <c r="R203" t="s">
        <v>221</v>
      </c>
      <c r="S203" s="2">
        <v>11698</v>
      </c>
      <c r="T203" s="2">
        <v>6309</v>
      </c>
    </row>
    <row r="204" spans="14:20" x14ac:dyDescent="0.25">
      <c r="N204" t="s">
        <v>222</v>
      </c>
      <c r="O204" s="2">
        <v>2127</v>
      </c>
      <c r="P204" s="5">
        <v>9.815435703799627E-2</v>
      </c>
      <c r="R204" t="s">
        <v>222</v>
      </c>
      <c r="S204" s="2">
        <v>224484</v>
      </c>
      <c r="T204" s="2">
        <v>155989</v>
      </c>
    </row>
    <row r="205" spans="14:20" x14ac:dyDescent="0.25">
      <c r="N205" t="s">
        <v>223</v>
      </c>
      <c r="O205" s="2">
        <v>841</v>
      </c>
      <c r="P205" s="5">
        <v>5.1715665018934466E-2</v>
      </c>
      <c r="R205" t="s">
        <v>223</v>
      </c>
      <c r="S205" s="2">
        <v>199572</v>
      </c>
      <c r="T205" s="2">
        <v>69186</v>
      </c>
    </row>
    <row r="206" spans="14:20" x14ac:dyDescent="0.25">
      <c r="N206" t="s">
        <v>224</v>
      </c>
      <c r="O206" s="2">
        <v>15</v>
      </c>
      <c r="P206" s="5">
        <v>3.1855955678670361E-2</v>
      </c>
      <c r="R206" t="s">
        <v>224</v>
      </c>
      <c r="S206" s="2">
        <v>4192</v>
      </c>
      <c r="T206" s="2">
        <v>2166</v>
      </c>
    </row>
    <row r="207" spans="14:20" x14ac:dyDescent="0.25">
      <c r="N207" t="s">
        <v>225</v>
      </c>
      <c r="O207" s="2">
        <v>4</v>
      </c>
      <c r="P207" s="5">
        <v>2.8268551236749116E-2</v>
      </c>
      <c r="R207" t="s">
        <v>225</v>
      </c>
      <c r="S207" s="2">
        <v>411</v>
      </c>
      <c r="T207" s="2">
        <v>283</v>
      </c>
    </row>
    <row r="208" spans="14:20" x14ac:dyDescent="0.25">
      <c r="N208" t="s">
        <v>226</v>
      </c>
      <c r="O208" s="2">
        <v>5219</v>
      </c>
      <c r="P208" s="5">
        <v>0.11530255521090764</v>
      </c>
      <c r="R208" t="s">
        <v>226</v>
      </c>
      <c r="S208" s="2">
        <v>317455</v>
      </c>
      <c r="T208" s="2">
        <v>177637</v>
      </c>
    </row>
    <row r="209" spans="14:20" x14ac:dyDescent="0.25">
      <c r="N209" t="s">
        <v>227</v>
      </c>
      <c r="O209" s="2">
        <v>215</v>
      </c>
      <c r="P209" s="5">
        <v>4.3653509772606285E-2</v>
      </c>
      <c r="R209" t="s">
        <v>227</v>
      </c>
      <c r="S209" s="2">
        <v>23747</v>
      </c>
      <c r="T209" s="2">
        <v>13149</v>
      </c>
    </row>
    <row r="210" spans="14:20" x14ac:dyDescent="0.25">
      <c r="N210" t="s">
        <v>228</v>
      </c>
      <c r="O210" s="2">
        <v>1699</v>
      </c>
      <c r="P210" s="5">
        <v>7.0328486072081406E-2</v>
      </c>
      <c r="R210" t="s">
        <v>228</v>
      </c>
      <c r="S210" s="2">
        <v>272386</v>
      </c>
      <c r="T210" s="2">
        <v>146612</v>
      </c>
    </row>
    <row r="211" spans="14:20" x14ac:dyDescent="0.25">
      <c r="N211" t="s">
        <v>229</v>
      </c>
      <c r="O211" s="2">
        <v>94</v>
      </c>
      <c r="P211" s="5">
        <v>3.8396742945388182E-2</v>
      </c>
      <c r="R211" t="s">
        <v>229</v>
      </c>
      <c r="S211" s="2">
        <v>20635</v>
      </c>
      <c r="T211" s="2">
        <v>14246</v>
      </c>
    </row>
    <row r="212" spans="14:20" x14ac:dyDescent="0.25">
      <c r="N212" t="s">
        <v>230</v>
      </c>
      <c r="O212" s="2">
        <v>9009</v>
      </c>
      <c r="P212" s="5">
        <v>0.15078473507325282</v>
      </c>
      <c r="R212" t="s">
        <v>230</v>
      </c>
      <c r="S212" s="2">
        <v>512834</v>
      </c>
      <c r="T212" s="2">
        <v>214531</v>
      </c>
    </row>
    <row r="213" spans="14:20" x14ac:dyDescent="0.25">
      <c r="N213" t="s">
        <v>231</v>
      </c>
      <c r="O213" s="2">
        <v>268</v>
      </c>
      <c r="P213" s="5">
        <v>8.6313303876495953E-2</v>
      </c>
      <c r="R213" t="s">
        <v>231</v>
      </c>
      <c r="S213" s="2">
        <v>81281</v>
      </c>
      <c r="T213" s="2">
        <v>55901</v>
      </c>
    </row>
    <row r="214" spans="14:20" x14ac:dyDescent="0.25">
      <c r="N214" t="s">
        <v>232</v>
      </c>
      <c r="O214" s="2">
        <v>79</v>
      </c>
      <c r="P214" s="5">
        <v>7.6735688185140066E-2</v>
      </c>
      <c r="R214" t="s">
        <v>232</v>
      </c>
      <c r="S214" s="2">
        <v>9256</v>
      </c>
      <c r="T214" s="2">
        <v>6568</v>
      </c>
    </row>
    <row r="215" spans="14:20" x14ac:dyDescent="0.25">
      <c r="N215" t="s">
        <v>233</v>
      </c>
      <c r="O215" s="2">
        <v>216</v>
      </c>
      <c r="P215" s="5">
        <v>6.9556714471968706E-2</v>
      </c>
      <c r="R215" t="s">
        <v>233</v>
      </c>
      <c r="S215" s="2">
        <v>19703</v>
      </c>
      <c r="T215" s="2">
        <v>15340</v>
      </c>
    </row>
    <row r="216" spans="14:20" x14ac:dyDescent="0.25">
      <c r="N216" t="s">
        <v>234</v>
      </c>
      <c r="O216" s="2">
        <v>77</v>
      </c>
      <c r="P216" s="5">
        <v>8.2429103108455207E-2</v>
      </c>
      <c r="R216" t="s">
        <v>234</v>
      </c>
      <c r="S216" s="2">
        <v>55527</v>
      </c>
      <c r="T216" s="2">
        <v>38154</v>
      </c>
    </row>
    <row r="217" spans="14:20" x14ac:dyDescent="0.25">
      <c r="N217" t="s">
        <v>235</v>
      </c>
      <c r="O217" s="2">
        <v>11</v>
      </c>
      <c r="P217" s="5">
        <v>3.5579514824797841E-2</v>
      </c>
      <c r="R217" t="s">
        <v>235</v>
      </c>
      <c r="S217" s="2">
        <v>2387</v>
      </c>
      <c r="T217" s="2">
        <v>1855</v>
      </c>
    </row>
    <row r="218" spans="14:20" x14ac:dyDescent="0.25">
      <c r="N218" t="s">
        <v>236</v>
      </c>
      <c r="O218" s="2">
        <v>331</v>
      </c>
      <c r="P218" s="5">
        <v>5.3387264641877187E-2</v>
      </c>
      <c r="R218" t="s">
        <v>236</v>
      </c>
      <c r="S218" s="2">
        <v>84477</v>
      </c>
      <c r="T218" s="2">
        <v>42276</v>
      </c>
    </row>
    <row r="219" spans="14:20" x14ac:dyDescent="0.25">
      <c r="N219" t="s">
        <v>237</v>
      </c>
      <c r="O219" s="2">
        <v>87</v>
      </c>
      <c r="P219" s="5">
        <v>4.1276346604215454E-2</v>
      </c>
      <c r="R219" t="s">
        <v>237</v>
      </c>
      <c r="S219" s="2">
        <v>21725</v>
      </c>
      <c r="T219" s="2">
        <v>10248</v>
      </c>
    </row>
    <row r="220" spans="14:20" x14ac:dyDescent="0.25">
      <c r="N220" t="s">
        <v>238</v>
      </c>
      <c r="O220" s="2">
        <v>69</v>
      </c>
      <c r="P220" s="5">
        <v>3.4522439585730723E-2</v>
      </c>
      <c r="R220" t="s">
        <v>238</v>
      </c>
      <c r="S220" s="2">
        <v>19152</v>
      </c>
      <c r="T220" s="2">
        <v>8690</v>
      </c>
    </row>
    <row r="221" spans="14:20" x14ac:dyDescent="0.25">
      <c r="N221" t="s">
        <v>239</v>
      </c>
      <c r="O221" s="2">
        <v>260</v>
      </c>
      <c r="P221" s="5">
        <v>4.0509138833974959E-2</v>
      </c>
      <c r="R221" t="s">
        <v>239</v>
      </c>
      <c r="S221" s="2">
        <v>69366</v>
      </c>
      <c r="T221" s="2">
        <v>28833</v>
      </c>
    </row>
    <row r="222" spans="14:20" x14ac:dyDescent="0.25">
      <c r="N222" t="s">
        <v>240</v>
      </c>
      <c r="O222" s="2">
        <v>5670</v>
      </c>
      <c r="P222" s="5">
        <v>0.12735003921892415</v>
      </c>
      <c r="R222" t="s">
        <v>240</v>
      </c>
      <c r="S222" s="2">
        <v>309128</v>
      </c>
      <c r="T222" s="2">
        <v>121115</v>
      </c>
    </row>
    <row r="223" spans="14:20" x14ac:dyDescent="0.25">
      <c r="N223" t="s">
        <v>241</v>
      </c>
      <c r="O223" s="2">
        <v>99</v>
      </c>
      <c r="P223" s="5">
        <v>6.8215404622569017E-2</v>
      </c>
      <c r="R223" t="s">
        <v>241</v>
      </c>
      <c r="S223" s="2">
        <v>35463</v>
      </c>
      <c r="T223" s="2">
        <v>16917</v>
      </c>
    </row>
    <row r="224" spans="14:20" x14ac:dyDescent="0.25">
      <c r="N224" t="s">
        <v>242</v>
      </c>
      <c r="O224" s="2">
        <v>5513</v>
      </c>
      <c r="P224" s="5">
        <v>0.15446038198972156</v>
      </c>
      <c r="R224" t="s">
        <v>242</v>
      </c>
      <c r="S224" s="2">
        <v>346346</v>
      </c>
      <c r="T224" s="2">
        <v>130370</v>
      </c>
    </row>
    <row r="225" spans="14:20" x14ac:dyDescent="0.25">
      <c r="N225" t="s">
        <v>243</v>
      </c>
      <c r="O225" s="2">
        <v>9</v>
      </c>
      <c r="P225" s="5">
        <v>8.6597938144329895E-2</v>
      </c>
      <c r="R225" t="s">
        <v>243</v>
      </c>
      <c r="S225" s="2">
        <v>1243</v>
      </c>
      <c r="T225" s="2">
        <v>485</v>
      </c>
    </row>
    <row r="226" spans="14:20" x14ac:dyDescent="0.25">
      <c r="N226" t="s">
        <v>244</v>
      </c>
      <c r="O226" s="2">
        <v>1198</v>
      </c>
      <c r="P226" s="5">
        <v>0.13094265395672569</v>
      </c>
      <c r="R226" t="s">
        <v>244</v>
      </c>
      <c r="S226" s="2">
        <v>67913</v>
      </c>
      <c r="T226" s="2">
        <v>33045</v>
      </c>
    </row>
    <row r="227" spans="14:20" x14ac:dyDescent="0.25">
      <c r="N227" t="s">
        <v>245</v>
      </c>
      <c r="O227" s="2">
        <v>112</v>
      </c>
      <c r="P227" s="5">
        <v>4.1404083690446181E-2</v>
      </c>
      <c r="R227" t="s">
        <v>245</v>
      </c>
      <c r="S227" s="2">
        <v>22677</v>
      </c>
      <c r="T227" s="2">
        <v>15868</v>
      </c>
    </row>
    <row r="228" spans="14:20" x14ac:dyDescent="0.25">
      <c r="N228" t="s">
        <v>246</v>
      </c>
      <c r="O228" s="2">
        <v>444</v>
      </c>
      <c r="P228" s="5">
        <v>5.7577900736364769E-2</v>
      </c>
      <c r="R228" t="s">
        <v>246</v>
      </c>
      <c r="S228" s="2">
        <v>69409</v>
      </c>
      <c r="T228" s="2">
        <v>48074</v>
      </c>
    </row>
    <row r="229" spans="14:20" x14ac:dyDescent="0.25">
      <c r="N229" t="s">
        <v>247</v>
      </c>
      <c r="O229" s="2">
        <v>291</v>
      </c>
      <c r="P229" s="5">
        <v>9.2371931968632248E-2</v>
      </c>
      <c r="R229" t="s">
        <v>247</v>
      </c>
      <c r="S229" s="2">
        <v>84665</v>
      </c>
      <c r="T229" s="2">
        <v>39276</v>
      </c>
    </row>
    <row r="230" spans="14:20" x14ac:dyDescent="0.25">
      <c r="N230" t="s">
        <v>248</v>
      </c>
      <c r="O230" s="2">
        <v>104</v>
      </c>
      <c r="P230" s="5">
        <v>6.3159306275701765E-2</v>
      </c>
      <c r="R230" t="s">
        <v>248</v>
      </c>
      <c r="S230" s="2">
        <v>69804</v>
      </c>
      <c r="T230" s="2">
        <v>44744</v>
      </c>
    </row>
    <row r="231" spans="14:20" x14ac:dyDescent="0.25">
      <c r="N231" t="s">
        <v>249</v>
      </c>
      <c r="O231" s="2">
        <v>98</v>
      </c>
      <c r="P231" s="5">
        <v>5.5180024831011171E-2</v>
      </c>
      <c r="R231" t="s">
        <v>249</v>
      </c>
      <c r="S231" s="2">
        <v>12708</v>
      </c>
      <c r="T231" s="2">
        <v>7249</v>
      </c>
    </row>
    <row r="232" spans="14:20" x14ac:dyDescent="0.25">
      <c r="N232" t="s">
        <v>250</v>
      </c>
      <c r="O232" s="2">
        <v>120</v>
      </c>
      <c r="P232" s="5">
        <v>9.1614827001182453E-2</v>
      </c>
      <c r="R232" t="s">
        <v>250</v>
      </c>
      <c r="S232" s="2">
        <v>25969</v>
      </c>
      <c r="T232" s="2">
        <v>19451</v>
      </c>
    </row>
    <row r="233" spans="14:20" x14ac:dyDescent="0.25">
      <c r="N233" t="s">
        <v>251</v>
      </c>
      <c r="O233" s="2">
        <v>131</v>
      </c>
      <c r="P233" s="5">
        <v>5.3412905632226781E-2</v>
      </c>
      <c r="R233" t="s">
        <v>251</v>
      </c>
      <c r="S233" s="2">
        <v>24835</v>
      </c>
      <c r="T233" s="2">
        <v>13405</v>
      </c>
    </row>
    <row r="234" spans="14:20" x14ac:dyDescent="0.25">
      <c r="N234" t="s">
        <v>252</v>
      </c>
      <c r="O234" s="2">
        <v>45</v>
      </c>
      <c r="P234" s="5">
        <v>6.5852714061183121E-2</v>
      </c>
      <c r="R234" t="s">
        <v>252</v>
      </c>
      <c r="S234" s="2">
        <v>69623</v>
      </c>
      <c r="T234" s="2">
        <v>43901</v>
      </c>
    </row>
    <row r="235" spans="14:20" x14ac:dyDescent="0.25">
      <c r="N235" t="s">
        <v>253</v>
      </c>
      <c r="O235" s="2">
        <v>73</v>
      </c>
      <c r="P235" s="5">
        <v>5.6815772736909055E-2</v>
      </c>
      <c r="R235" t="s">
        <v>253</v>
      </c>
      <c r="S235" s="2">
        <v>36545</v>
      </c>
      <c r="T235" s="2">
        <v>18868</v>
      </c>
    </row>
    <row r="236" spans="14:20" x14ac:dyDescent="0.25">
      <c r="N236" t="s">
        <v>254</v>
      </c>
      <c r="O236" s="2">
        <v>127</v>
      </c>
      <c r="P236" s="5">
        <v>8.0948121645796067E-2</v>
      </c>
      <c r="R236" t="s">
        <v>254</v>
      </c>
      <c r="S236" s="2">
        <v>12513</v>
      </c>
      <c r="T236" s="2">
        <v>4472</v>
      </c>
    </row>
    <row r="237" spans="14:20" x14ac:dyDescent="0.25">
      <c r="N237" t="s">
        <v>255</v>
      </c>
      <c r="O237" s="2">
        <v>302</v>
      </c>
      <c r="P237" s="5">
        <v>6.5420026305255327E-2</v>
      </c>
      <c r="R237" t="s">
        <v>255</v>
      </c>
      <c r="S237" s="2">
        <v>33475</v>
      </c>
      <c r="T237" s="2">
        <v>17487</v>
      </c>
    </row>
    <row r="238" spans="14:20" x14ac:dyDescent="0.25">
      <c r="N238" t="s">
        <v>256</v>
      </c>
      <c r="O238" s="2">
        <v>496</v>
      </c>
      <c r="P238" s="5">
        <v>5.0970332366718718E-2</v>
      </c>
      <c r="R238" t="s">
        <v>256</v>
      </c>
      <c r="S238" s="2">
        <v>32149</v>
      </c>
      <c r="T238" s="2">
        <v>17932</v>
      </c>
    </row>
    <row r="239" spans="14:20" x14ac:dyDescent="0.25">
      <c r="N239" t="s">
        <v>257</v>
      </c>
      <c r="O239" s="2">
        <v>1097</v>
      </c>
      <c r="P239" s="5">
        <v>6.9918488808384013E-2</v>
      </c>
      <c r="R239" t="s">
        <v>257</v>
      </c>
      <c r="S239" s="2">
        <v>59311</v>
      </c>
      <c r="T239" s="2">
        <v>38645</v>
      </c>
    </row>
    <row r="240" spans="14:20" x14ac:dyDescent="0.25">
      <c r="N240" t="s">
        <v>258</v>
      </c>
      <c r="O240" s="2">
        <v>30</v>
      </c>
      <c r="P240" s="5">
        <v>3.3033707865168536E-2</v>
      </c>
      <c r="R240" t="s">
        <v>258</v>
      </c>
      <c r="S240" s="2">
        <v>6650</v>
      </c>
      <c r="T240" s="2">
        <v>4450</v>
      </c>
    </row>
    <row r="241" spans="14:20" x14ac:dyDescent="0.25">
      <c r="N241" t="s">
        <v>259</v>
      </c>
      <c r="O241" s="2">
        <v>23</v>
      </c>
      <c r="P241" s="5">
        <v>6.5237651444547989E-2</v>
      </c>
      <c r="R241" t="s">
        <v>259</v>
      </c>
      <c r="S241" s="2">
        <v>1657</v>
      </c>
      <c r="T241" s="2">
        <v>1073</v>
      </c>
    </row>
    <row r="242" spans="14:20" x14ac:dyDescent="0.25">
      <c r="N242" t="s">
        <v>260</v>
      </c>
      <c r="O242" s="2">
        <v>2855</v>
      </c>
      <c r="P242" s="5">
        <v>9.8939324817518243E-2</v>
      </c>
      <c r="R242" t="s">
        <v>260</v>
      </c>
      <c r="S242" s="2">
        <v>108505</v>
      </c>
      <c r="T242" s="2">
        <v>70144</v>
      </c>
    </row>
    <row r="243" spans="14:20" x14ac:dyDescent="0.25">
      <c r="N243" t="s">
        <v>261</v>
      </c>
      <c r="O243" s="2">
        <v>296</v>
      </c>
      <c r="P243" s="5">
        <v>8.1639841760147408E-2</v>
      </c>
      <c r="R243" t="s">
        <v>261</v>
      </c>
      <c r="S243" s="2">
        <v>51565</v>
      </c>
      <c r="T243" s="2">
        <v>36906</v>
      </c>
    </row>
    <row r="244" spans="14:20" x14ac:dyDescent="0.25">
      <c r="N244" t="s">
        <v>262</v>
      </c>
      <c r="O244" s="2">
        <v>3605</v>
      </c>
      <c r="P244" s="5">
        <v>0.13486065453395241</v>
      </c>
      <c r="R244" t="s">
        <v>262</v>
      </c>
      <c r="S244" s="2">
        <v>178037</v>
      </c>
      <c r="T244" s="2">
        <v>88521</v>
      </c>
    </row>
    <row r="245" spans="14:20" x14ac:dyDescent="0.25">
      <c r="N245" t="s">
        <v>263</v>
      </c>
      <c r="O245" s="2">
        <v>2443</v>
      </c>
      <c r="P245" s="5">
        <v>0.10579056185201395</v>
      </c>
      <c r="R245" t="s">
        <v>263</v>
      </c>
      <c r="S245" s="2">
        <v>113603</v>
      </c>
      <c r="T245" s="2">
        <v>66263</v>
      </c>
    </row>
    <row r="246" spans="14:20" x14ac:dyDescent="0.25">
      <c r="N246" t="s">
        <v>264</v>
      </c>
      <c r="O246" s="2">
        <v>5811</v>
      </c>
      <c r="P246" s="5">
        <v>0.13901549680948039</v>
      </c>
      <c r="R246" t="s">
        <v>264</v>
      </c>
      <c r="S246" s="2">
        <v>412062</v>
      </c>
      <c r="T246" s="2">
        <v>210624</v>
      </c>
    </row>
    <row r="247" spans="14:20" x14ac:dyDescent="0.25">
      <c r="N247" t="s">
        <v>265</v>
      </c>
      <c r="O247" s="2">
        <v>3165</v>
      </c>
      <c r="P247" s="5">
        <v>0.11422048333159655</v>
      </c>
      <c r="R247" t="s">
        <v>265</v>
      </c>
      <c r="S247" s="2">
        <v>167258</v>
      </c>
      <c r="T247" s="2">
        <v>105559</v>
      </c>
    </row>
    <row r="248" spans="14:20" x14ac:dyDescent="0.25">
      <c r="N248" t="s">
        <v>266</v>
      </c>
      <c r="O248" s="2">
        <v>61</v>
      </c>
      <c r="P248" s="5">
        <v>6.6690962099125367E-2</v>
      </c>
      <c r="R248" t="s">
        <v>266</v>
      </c>
      <c r="S248" s="2">
        <v>8453</v>
      </c>
      <c r="T248" s="2">
        <v>2744</v>
      </c>
    </row>
    <row r="249" spans="14:20" x14ac:dyDescent="0.25">
      <c r="N249" t="s">
        <v>267</v>
      </c>
      <c r="O249" s="2">
        <v>183</v>
      </c>
      <c r="P249" s="5">
        <v>5.1265068220956417E-2</v>
      </c>
      <c r="R249" t="s">
        <v>267</v>
      </c>
      <c r="S249" s="2">
        <v>11670</v>
      </c>
      <c r="T249" s="2">
        <v>7549</v>
      </c>
    </row>
    <row r="250" spans="14:20" x14ac:dyDescent="0.25">
      <c r="N250" t="s">
        <v>268</v>
      </c>
      <c r="O250" s="2">
        <v>54</v>
      </c>
      <c r="P250" s="5">
        <v>6.4020640206402066E-2</v>
      </c>
      <c r="R250" t="s">
        <v>268</v>
      </c>
      <c r="S250" s="2">
        <v>50804</v>
      </c>
      <c r="T250" s="2">
        <v>33333</v>
      </c>
    </row>
    <row r="251" spans="14:20" x14ac:dyDescent="0.25">
      <c r="N251" t="s">
        <v>269</v>
      </c>
      <c r="O251" s="2">
        <v>43</v>
      </c>
      <c r="P251" s="5">
        <v>1.2706313859051611E-2</v>
      </c>
      <c r="R251" t="s">
        <v>269</v>
      </c>
      <c r="S251" s="2">
        <v>19570</v>
      </c>
      <c r="T251" s="2">
        <v>15268</v>
      </c>
    </row>
    <row r="252" spans="14:20" x14ac:dyDescent="0.25">
      <c r="N252" t="s">
        <v>270</v>
      </c>
      <c r="O252" s="2">
        <v>115</v>
      </c>
      <c r="P252" s="5">
        <v>8.0378452096829187E-2</v>
      </c>
      <c r="R252" t="s">
        <v>270</v>
      </c>
      <c r="S252" s="2">
        <v>25198</v>
      </c>
      <c r="T252" s="2">
        <v>11732</v>
      </c>
    </row>
    <row r="253" spans="14:20" x14ac:dyDescent="0.25">
      <c r="N253" t="s">
        <v>271</v>
      </c>
      <c r="O253" s="2">
        <v>6</v>
      </c>
      <c r="P253" s="5">
        <v>6.4516129032258063E-2</v>
      </c>
      <c r="R253" t="s">
        <v>271</v>
      </c>
      <c r="S253" s="2">
        <v>1247</v>
      </c>
      <c r="T253" s="2">
        <v>713</v>
      </c>
    </row>
    <row r="254" spans="14:20" x14ac:dyDescent="0.25">
      <c r="N254" t="s">
        <v>272</v>
      </c>
      <c r="O254" s="2">
        <v>143</v>
      </c>
      <c r="P254" s="5">
        <v>8.8366146765533116E-2</v>
      </c>
      <c r="R254" t="s">
        <v>272</v>
      </c>
      <c r="S254" s="2">
        <v>46649</v>
      </c>
      <c r="T254" s="2">
        <v>19555</v>
      </c>
    </row>
    <row r="255" spans="14:20" x14ac:dyDescent="0.25">
      <c r="N255" t="s">
        <v>273</v>
      </c>
      <c r="O255" s="2">
        <v>225</v>
      </c>
      <c r="P255" s="5">
        <v>9.299543662221435E-2</v>
      </c>
      <c r="R255" t="s">
        <v>273</v>
      </c>
      <c r="S255" s="2">
        <v>35125</v>
      </c>
      <c r="T255" s="2">
        <v>22571</v>
      </c>
    </row>
    <row r="256" spans="14:20" x14ac:dyDescent="0.25">
      <c r="N256" t="s">
        <v>274</v>
      </c>
      <c r="O256" s="2">
        <v>155</v>
      </c>
      <c r="P256" s="5">
        <v>9.7947629157820237E-2</v>
      </c>
      <c r="R256" t="s">
        <v>274</v>
      </c>
      <c r="S256" s="2">
        <v>11249</v>
      </c>
      <c r="T256" s="2">
        <v>7065</v>
      </c>
    </row>
    <row r="257" spans="14:20" x14ac:dyDescent="0.25">
      <c r="N257" t="s">
        <v>275</v>
      </c>
      <c r="O257" s="2">
        <v>75</v>
      </c>
      <c r="P257" s="5">
        <v>5.6439010938505375E-2</v>
      </c>
      <c r="R257" t="s">
        <v>275</v>
      </c>
      <c r="S257" s="2">
        <v>24441</v>
      </c>
      <c r="T257" s="2">
        <v>10879</v>
      </c>
    </row>
    <row r="258" spans="14:20" x14ac:dyDescent="0.25">
      <c r="N258" t="s">
        <v>276</v>
      </c>
      <c r="O258" s="2">
        <v>17</v>
      </c>
      <c r="P258" s="5">
        <v>5.9391239792130658E-2</v>
      </c>
      <c r="R258" t="s">
        <v>276</v>
      </c>
      <c r="S258" s="2">
        <v>2648</v>
      </c>
      <c r="T258" s="2">
        <v>1347</v>
      </c>
    </row>
    <row r="259" spans="14:20" x14ac:dyDescent="0.25">
      <c r="N259" t="s">
        <v>277</v>
      </c>
      <c r="O259" s="2">
        <v>95</v>
      </c>
      <c r="P259" s="5">
        <v>5.9473237043330504E-2</v>
      </c>
      <c r="R259" t="s">
        <v>277</v>
      </c>
      <c r="S259" s="2">
        <v>8413</v>
      </c>
      <c r="T259" s="2">
        <v>5885</v>
      </c>
    </row>
    <row r="260" spans="14:20" x14ac:dyDescent="0.25">
      <c r="N260" t="s">
        <v>278</v>
      </c>
      <c r="O260" s="2">
        <v>330</v>
      </c>
      <c r="P260" s="5">
        <v>5.9557056569461586E-2</v>
      </c>
      <c r="R260" t="s">
        <v>278</v>
      </c>
      <c r="S260" s="2">
        <v>87465</v>
      </c>
      <c r="T260" s="2">
        <v>46191</v>
      </c>
    </row>
    <row r="261" spans="14:20" x14ac:dyDescent="0.25">
      <c r="N261" t="s">
        <v>279</v>
      </c>
      <c r="O261" s="2">
        <v>1839</v>
      </c>
      <c r="P261" s="5">
        <v>0.13413826008588242</v>
      </c>
      <c r="R261" t="s">
        <v>279</v>
      </c>
      <c r="S261" s="2">
        <v>238988</v>
      </c>
      <c r="T261" s="2">
        <v>75452</v>
      </c>
    </row>
    <row r="262" spans="14:20" x14ac:dyDescent="0.25">
      <c r="N262" t="s">
        <v>280</v>
      </c>
      <c r="O262" s="2">
        <v>74</v>
      </c>
      <c r="P262" s="5">
        <v>7.5375375375375378E-2</v>
      </c>
      <c r="R262" t="s">
        <v>280</v>
      </c>
      <c r="S262" s="2">
        <v>10739</v>
      </c>
      <c r="T262" s="2">
        <v>6660</v>
      </c>
    </row>
    <row r="263" spans="14:20" x14ac:dyDescent="0.25">
      <c r="N263" t="s">
        <v>281</v>
      </c>
      <c r="O263" s="2">
        <v>25</v>
      </c>
      <c r="P263" s="5">
        <v>8.0370292446875657E-2</v>
      </c>
      <c r="R263" t="s">
        <v>281</v>
      </c>
      <c r="S263" s="2">
        <v>13057</v>
      </c>
      <c r="T263" s="2">
        <v>9506</v>
      </c>
    </row>
    <row r="264" spans="14:20" x14ac:dyDescent="0.25">
      <c r="N264" t="s">
        <v>282</v>
      </c>
      <c r="O264" s="2">
        <v>427</v>
      </c>
      <c r="P264" s="5">
        <v>5.5947552641813433E-2</v>
      </c>
      <c r="R264" t="s">
        <v>282</v>
      </c>
      <c r="S264" s="2">
        <v>27725</v>
      </c>
      <c r="T264" s="2">
        <v>17999</v>
      </c>
    </row>
    <row r="265" spans="14:20" x14ac:dyDescent="0.25">
      <c r="N265" t="s">
        <v>283</v>
      </c>
      <c r="O265" s="2">
        <v>289</v>
      </c>
      <c r="P265" s="5">
        <v>3.4973218706396005E-2</v>
      </c>
      <c r="R265" t="s">
        <v>283</v>
      </c>
      <c r="S265" s="2">
        <v>57682</v>
      </c>
      <c r="T265" s="2">
        <v>44434</v>
      </c>
    </row>
    <row r="266" spans="14:20" x14ac:dyDescent="0.25">
      <c r="N266" t="s">
        <v>284</v>
      </c>
      <c r="O266" s="2">
        <v>177</v>
      </c>
      <c r="P266" s="5">
        <v>2.692268617291476E-2</v>
      </c>
      <c r="R266" t="s">
        <v>284</v>
      </c>
      <c r="S266" s="2">
        <v>17139</v>
      </c>
      <c r="T266" s="2">
        <v>9843</v>
      </c>
    </row>
    <row r="267" spans="14:20" x14ac:dyDescent="0.25">
      <c r="N267" t="s">
        <v>285</v>
      </c>
      <c r="O267" s="2">
        <v>2947</v>
      </c>
      <c r="P267" s="5">
        <v>0.15895199671442031</v>
      </c>
      <c r="R267" t="s">
        <v>285</v>
      </c>
      <c r="S267" s="2">
        <v>189115</v>
      </c>
      <c r="T267" s="2">
        <v>82786</v>
      </c>
    </row>
    <row r="268" spans="14:20" x14ac:dyDescent="0.25">
      <c r="N268" t="s">
        <v>286</v>
      </c>
      <c r="O268" s="2">
        <v>318</v>
      </c>
      <c r="P268" s="5">
        <v>4.5858438317813888E-2</v>
      </c>
      <c r="R268" t="s">
        <v>286</v>
      </c>
      <c r="S268" s="2">
        <v>44207</v>
      </c>
      <c r="T268" s="2">
        <v>32862</v>
      </c>
    </row>
    <row r="269" spans="14:20" x14ac:dyDescent="0.25">
      <c r="N269" t="s">
        <v>287</v>
      </c>
      <c r="O269" s="2">
        <v>260</v>
      </c>
      <c r="P269" s="5">
        <v>3.1535580524344568E-2</v>
      </c>
      <c r="R269" t="s">
        <v>287</v>
      </c>
      <c r="S269" s="2">
        <v>15615</v>
      </c>
      <c r="T269" s="2">
        <v>13350</v>
      </c>
    </row>
    <row r="270" spans="14:20" x14ac:dyDescent="0.25">
      <c r="N270" t="s">
        <v>288</v>
      </c>
      <c r="O270" s="2">
        <v>139</v>
      </c>
      <c r="P270" s="5">
        <v>6.579174581246762E-2</v>
      </c>
      <c r="R270" t="s">
        <v>288</v>
      </c>
      <c r="S270" s="2">
        <v>14552</v>
      </c>
      <c r="T270" s="2">
        <v>11582</v>
      </c>
    </row>
    <row r="271" spans="14:20" x14ac:dyDescent="0.25">
      <c r="N271" t="s">
        <v>289</v>
      </c>
      <c r="O271" s="2">
        <v>16</v>
      </c>
      <c r="P271" s="5">
        <v>4.2163882259347654E-2</v>
      </c>
      <c r="R271" t="s">
        <v>289</v>
      </c>
      <c r="S271" s="2">
        <v>3215</v>
      </c>
      <c r="T271" s="2">
        <v>1257</v>
      </c>
    </row>
    <row r="272" spans="14:20" x14ac:dyDescent="0.25">
      <c r="N272" t="s">
        <v>290</v>
      </c>
      <c r="O272" s="2">
        <v>213</v>
      </c>
      <c r="P272" s="5">
        <v>4.0774949312908315E-2</v>
      </c>
      <c r="R272" t="s">
        <v>290</v>
      </c>
      <c r="S272" s="2">
        <v>22166</v>
      </c>
      <c r="T272" s="2">
        <v>13317</v>
      </c>
    </row>
    <row r="273" spans="14:20" x14ac:dyDescent="0.25">
      <c r="N273" t="s">
        <v>291</v>
      </c>
      <c r="O273" s="2">
        <v>1040</v>
      </c>
      <c r="P273" s="5">
        <v>0.14857342619732702</v>
      </c>
      <c r="R273" t="s">
        <v>291</v>
      </c>
      <c r="S273" s="2">
        <v>115946</v>
      </c>
      <c r="T273" s="2">
        <v>37187</v>
      </c>
    </row>
    <row r="274" spans="14:20" x14ac:dyDescent="0.25">
      <c r="N274" t="s">
        <v>292</v>
      </c>
      <c r="O274" s="2">
        <v>119</v>
      </c>
      <c r="P274" s="5">
        <v>2.732509477622963E-2</v>
      </c>
      <c r="R274" t="s">
        <v>292</v>
      </c>
      <c r="S274" s="2">
        <v>49795</v>
      </c>
      <c r="T274" s="2">
        <v>40622</v>
      </c>
    </row>
    <row r="275" spans="14:20" x14ac:dyDescent="0.25">
      <c r="N275" t="s">
        <v>293</v>
      </c>
      <c r="O275" s="2">
        <v>244</v>
      </c>
      <c r="P275" s="5">
        <v>5.5202079039340442E-2</v>
      </c>
      <c r="R275" t="s">
        <v>293</v>
      </c>
      <c r="S275" s="2">
        <v>21275</v>
      </c>
      <c r="T275" s="2">
        <v>11159</v>
      </c>
    </row>
    <row r="276" spans="14:20" x14ac:dyDescent="0.25">
      <c r="N276" t="s">
        <v>294</v>
      </c>
      <c r="O276" s="2">
        <v>2336</v>
      </c>
      <c r="P276" s="5">
        <v>0.12467583567327813</v>
      </c>
      <c r="R276" t="s">
        <v>294</v>
      </c>
      <c r="S276" s="2">
        <v>249153</v>
      </c>
      <c r="T276" s="2">
        <v>111826</v>
      </c>
    </row>
    <row r="277" spans="14:20" x14ac:dyDescent="0.25">
      <c r="N277" t="s">
        <v>295</v>
      </c>
      <c r="O277" s="2">
        <v>5281</v>
      </c>
      <c r="P277" s="5">
        <v>0.14602370804257303</v>
      </c>
      <c r="R277" t="s">
        <v>295</v>
      </c>
      <c r="S277" s="2">
        <v>479116</v>
      </c>
      <c r="T277" s="2">
        <v>244474</v>
      </c>
    </row>
    <row r="278" spans="14:20" x14ac:dyDescent="0.25">
      <c r="N278" t="s">
        <v>296</v>
      </c>
      <c r="O278" s="2">
        <v>15</v>
      </c>
      <c r="P278" s="5">
        <v>5.9920106524633823E-2</v>
      </c>
      <c r="R278" t="s">
        <v>296</v>
      </c>
      <c r="S278" s="2">
        <v>1917</v>
      </c>
      <c r="T278" s="2">
        <v>751</v>
      </c>
    </row>
    <row r="279" spans="14:20" x14ac:dyDescent="0.25">
      <c r="N279" t="s">
        <v>297</v>
      </c>
      <c r="O279" s="2">
        <v>99</v>
      </c>
      <c r="P279" s="5">
        <v>5.2133299671800047E-2</v>
      </c>
      <c r="R279" t="s">
        <v>297</v>
      </c>
      <c r="S279" s="2">
        <v>14624</v>
      </c>
      <c r="T279" s="2">
        <v>7922</v>
      </c>
    </row>
    <row r="280" spans="14:20" x14ac:dyDescent="0.25">
      <c r="N280" t="s">
        <v>298</v>
      </c>
      <c r="O280" s="2">
        <v>1481</v>
      </c>
      <c r="P280" s="5">
        <v>8.7917327445919749E-2</v>
      </c>
      <c r="R280" t="s">
        <v>298</v>
      </c>
      <c r="S280" s="2">
        <v>171936</v>
      </c>
      <c r="T280" s="2">
        <v>96477</v>
      </c>
    </row>
    <row r="281" spans="14:20" x14ac:dyDescent="0.25">
      <c r="N281" t="s">
        <v>299</v>
      </c>
      <c r="O281" s="2">
        <v>1986</v>
      </c>
      <c r="P281" s="5">
        <v>7.9753702933062068E-2</v>
      </c>
      <c r="R281" t="s">
        <v>299</v>
      </c>
      <c r="S281" s="2">
        <v>267265</v>
      </c>
      <c r="T281" s="2">
        <v>129762</v>
      </c>
    </row>
    <row r="282" spans="14:20" x14ac:dyDescent="0.25">
      <c r="N282" t="s">
        <v>300</v>
      </c>
      <c r="O282" s="2">
        <v>116</v>
      </c>
      <c r="P282" s="5">
        <v>6.9475154195275224E-2</v>
      </c>
      <c r="R282" t="s">
        <v>300</v>
      </c>
      <c r="S282" s="2">
        <v>15655</v>
      </c>
      <c r="T282" s="2">
        <v>8593</v>
      </c>
    </row>
    <row r="283" spans="14:20" x14ac:dyDescent="0.25">
      <c r="N283" t="s">
        <v>301</v>
      </c>
      <c r="O283" s="2">
        <v>827</v>
      </c>
      <c r="P283" s="5">
        <v>4.6604814597910181E-2</v>
      </c>
      <c r="R283" t="s">
        <v>301</v>
      </c>
      <c r="S283" s="2">
        <v>50893</v>
      </c>
      <c r="T283" s="2">
        <v>32443</v>
      </c>
    </row>
    <row r="284" spans="14:20" x14ac:dyDescent="0.25">
      <c r="N284" t="s">
        <v>302</v>
      </c>
      <c r="O284" s="2">
        <v>1119</v>
      </c>
      <c r="P284" s="5">
        <v>0.15745002404341554</v>
      </c>
      <c r="R284" t="s">
        <v>302</v>
      </c>
      <c r="S284" s="2">
        <v>124057</v>
      </c>
      <c r="T284" s="2">
        <v>43671</v>
      </c>
    </row>
    <row r="285" spans="14:20" x14ac:dyDescent="0.25">
      <c r="N285" t="s">
        <v>303</v>
      </c>
      <c r="O285" s="2">
        <v>3835</v>
      </c>
      <c r="P285" s="5">
        <v>7.4699337735378055E-2</v>
      </c>
      <c r="R285" t="s">
        <v>303</v>
      </c>
      <c r="S285" s="2">
        <v>317606</v>
      </c>
      <c r="T285" s="2">
        <v>204299</v>
      </c>
    </row>
    <row r="286" spans="14:20" x14ac:dyDescent="0.25">
      <c r="N286" t="s">
        <v>304</v>
      </c>
      <c r="O286" s="2">
        <v>1506</v>
      </c>
      <c r="P286" s="5">
        <v>0.13394361829776333</v>
      </c>
      <c r="R286" t="s">
        <v>304</v>
      </c>
      <c r="S286" s="2">
        <v>130990</v>
      </c>
      <c r="T286" s="2">
        <v>74173</v>
      </c>
    </row>
    <row r="287" spans="14:20" x14ac:dyDescent="0.25">
      <c r="N287" t="s">
        <v>305</v>
      </c>
      <c r="O287" s="2">
        <v>17</v>
      </c>
      <c r="P287" s="5">
        <v>8.4831948406300386E-2</v>
      </c>
      <c r="R287" t="s">
        <v>305</v>
      </c>
      <c r="S287" s="2">
        <v>19221</v>
      </c>
      <c r="T287" s="2">
        <v>8063</v>
      </c>
    </row>
    <row r="288" spans="14:20" x14ac:dyDescent="0.25">
      <c r="N288" t="s">
        <v>306</v>
      </c>
      <c r="O288" s="2">
        <v>141</v>
      </c>
      <c r="P288" s="5">
        <v>3.82917600896861E-2</v>
      </c>
      <c r="R288" t="s">
        <v>306</v>
      </c>
      <c r="S288" s="2">
        <v>48127</v>
      </c>
      <c r="T288" s="2">
        <v>28544</v>
      </c>
    </row>
    <row r="289" spans="14:20" x14ac:dyDescent="0.25">
      <c r="N289" t="s">
        <v>307</v>
      </c>
      <c r="O289" s="2">
        <v>167</v>
      </c>
      <c r="P289" s="5">
        <v>7.4209860935524646E-2</v>
      </c>
      <c r="R289" t="s">
        <v>307</v>
      </c>
      <c r="S289" s="2">
        <v>20600</v>
      </c>
      <c r="T289" s="2">
        <v>7910</v>
      </c>
    </row>
    <row r="290" spans="14:20" x14ac:dyDescent="0.25">
      <c r="N290" t="s">
        <v>308</v>
      </c>
      <c r="O290" s="2">
        <v>6744</v>
      </c>
      <c r="P290" s="5">
        <v>0.1593377136658895</v>
      </c>
      <c r="R290" t="s">
        <v>308</v>
      </c>
      <c r="S290" s="2">
        <v>267250</v>
      </c>
      <c r="T290" s="2">
        <v>160414</v>
      </c>
    </row>
    <row r="291" spans="14:20" x14ac:dyDescent="0.25">
      <c r="N291" t="s">
        <v>309</v>
      </c>
      <c r="O291" s="2">
        <v>1074</v>
      </c>
      <c r="P291" s="5">
        <v>3.0627350223749808E-2</v>
      </c>
      <c r="R291" t="s">
        <v>309</v>
      </c>
      <c r="S291" s="2">
        <v>65898</v>
      </c>
      <c r="T291" s="2">
        <v>58771</v>
      </c>
    </row>
    <row r="292" spans="14:20" x14ac:dyDescent="0.25">
      <c r="N292" t="s">
        <v>310</v>
      </c>
      <c r="O292" s="2">
        <v>1988</v>
      </c>
      <c r="P292" s="5">
        <v>0.15856472956716014</v>
      </c>
      <c r="R292" t="s">
        <v>310</v>
      </c>
      <c r="S292" s="2">
        <v>162631</v>
      </c>
      <c r="T292" s="2">
        <v>81462</v>
      </c>
    </row>
    <row r="293" spans="14:20" x14ac:dyDescent="0.25">
      <c r="N293" t="s">
        <v>311</v>
      </c>
      <c r="O293" s="2">
        <v>6109</v>
      </c>
      <c r="P293" s="5">
        <v>0.16101736033614425</v>
      </c>
      <c r="R293" t="s">
        <v>311</v>
      </c>
      <c r="S293" s="2">
        <v>335925</v>
      </c>
      <c r="T293" s="2">
        <v>206102</v>
      </c>
    </row>
    <row r="294" spans="14:20" x14ac:dyDescent="0.25">
      <c r="N294" t="s">
        <v>312</v>
      </c>
      <c r="O294" s="2">
        <v>2980</v>
      </c>
      <c r="P294" s="5">
        <v>0.1333362691562445</v>
      </c>
      <c r="R294" t="s">
        <v>312</v>
      </c>
      <c r="S294" s="2">
        <v>327720</v>
      </c>
      <c r="T294" s="2">
        <v>113540</v>
      </c>
    </row>
    <row r="295" spans="14:20" x14ac:dyDescent="0.25">
      <c r="N295" t="s">
        <v>313</v>
      </c>
      <c r="O295" s="2">
        <v>4790</v>
      </c>
      <c r="P295" s="5">
        <v>9.5519798759595778E-2</v>
      </c>
      <c r="R295" t="s">
        <v>313</v>
      </c>
      <c r="S295" s="2">
        <v>264001</v>
      </c>
      <c r="T295" s="2">
        <v>115285</v>
      </c>
    </row>
    <row r="296" spans="14:20" x14ac:dyDescent="0.25">
      <c r="N296" t="s">
        <v>314</v>
      </c>
      <c r="O296" s="2">
        <v>20</v>
      </c>
      <c r="P296" s="5">
        <v>6.1794734013970981E-2</v>
      </c>
      <c r="R296" t="s">
        <v>314</v>
      </c>
      <c r="S296" s="2">
        <v>8569</v>
      </c>
      <c r="T296" s="2">
        <v>5583</v>
      </c>
    </row>
    <row r="297" spans="14:20" x14ac:dyDescent="0.25">
      <c r="N297" t="s">
        <v>315</v>
      </c>
      <c r="O297" s="2">
        <v>1602</v>
      </c>
      <c r="P297" s="5">
        <v>7.9679212189091519E-2</v>
      </c>
      <c r="R297" t="s">
        <v>315</v>
      </c>
      <c r="S297" s="2">
        <v>234440</v>
      </c>
      <c r="T297" s="2">
        <v>94642</v>
      </c>
    </row>
    <row r="298" spans="14:20" x14ac:dyDescent="0.25">
      <c r="N298" t="s">
        <v>316</v>
      </c>
      <c r="O298" s="2">
        <v>31</v>
      </c>
      <c r="P298" s="5">
        <v>8.0066307501036049E-2</v>
      </c>
      <c r="R298" t="s">
        <v>316</v>
      </c>
      <c r="S298" s="2">
        <v>21886</v>
      </c>
      <c r="T298" s="2">
        <v>12065</v>
      </c>
    </row>
    <row r="299" spans="14:20" x14ac:dyDescent="0.25">
      <c r="N299" t="s">
        <v>317</v>
      </c>
      <c r="O299" s="2">
        <v>128</v>
      </c>
      <c r="P299" s="5">
        <v>4.7283083594938345E-2</v>
      </c>
      <c r="R299" t="s">
        <v>317</v>
      </c>
      <c r="S299" s="2">
        <v>46055</v>
      </c>
      <c r="T299" s="2">
        <v>30899</v>
      </c>
    </row>
    <row r="300" spans="14:20" x14ac:dyDescent="0.25">
      <c r="N300" t="s">
        <v>318</v>
      </c>
      <c r="O300" s="2">
        <v>105</v>
      </c>
      <c r="P300" s="5">
        <v>7.3512824285223877E-2</v>
      </c>
      <c r="R300" t="s">
        <v>318</v>
      </c>
      <c r="S300" s="2">
        <v>32987</v>
      </c>
      <c r="T300" s="2">
        <v>20391</v>
      </c>
    </row>
    <row r="301" spans="14:20" x14ac:dyDescent="0.25">
      <c r="N301" t="s">
        <v>319</v>
      </c>
      <c r="O301" s="2">
        <v>26</v>
      </c>
      <c r="P301" s="5">
        <v>9.1738553417385529E-2</v>
      </c>
      <c r="R301" t="s">
        <v>319</v>
      </c>
      <c r="S301" s="2">
        <v>19452</v>
      </c>
      <c r="T301" s="2">
        <v>12056</v>
      </c>
    </row>
    <row r="302" spans="14:20" x14ac:dyDescent="0.25">
      <c r="N302" t="s">
        <v>320</v>
      </c>
      <c r="O302" s="2">
        <v>428</v>
      </c>
      <c r="P302" s="5">
        <v>8.8302198938443516E-2</v>
      </c>
      <c r="R302" t="s">
        <v>320</v>
      </c>
      <c r="S302" s="2">
        <v>39173</v>
      </c>
      <c r="T302" s="2">
        <v>14507</v>
      </c>
    </row>
    <row r="303" spans="14:20" x14ac:dyDescent="0.25">
      <c r="N303" t="s">
        <v>321</v>
      </c>
      <c r="O303" s="2">
        <v>106</v>
      </c>
      <c r="P303" s="5">
        <v>4.5389393215480175E-2</v>
      </c>
      <c r="R303" t="s">
        <v>321</v>
      </c>
      <c r="S303" s="2">
        <v>7902</v>
      </c>
      <c r="T303" s="2">
        <v>6279</v>
      </c>
    </row>
    <row r="304" spans="14:20" x14ac:dyDescent="0.25">
      <c r="N304" t="s">
        <v>322</v>
      </c>
      <c r="O304" s="2">
        <v>1907</v>
      </c>
      <c r="P304" s="5">
        <v>0.14426407997624469</v>
      </c>
      <c r="R304" t="s">
        <v>322</v>
      </c>
      <c r="S304" s="2">
        <v>179612</v>
      </c>
      <c r="T304" s="2">
        <v>121236</v>
      </c>
    </row>
    <row r="305" spans="14:20" x14ac:dyDescent="0.25">
      <c r="N305" t="s">
        <v>323</v>
      </c>
      <c r="O305" s="2">
        <v>126</v>
      </c>
      <c r="P305" s="5">
        <v>6.4138576779026221E-2</v>
      </c>
      <c r="R305" t="s">
        <v>323</v>
      </c>
      <c r="S305" s="2">
        <v>13777</v>
      </c>
      <c r="T305" s="2">
        <v>10680</v>
      </c>
    </row>
    <row r="306" spans="14:20" x14ac:dyDescent="0.25">
      <c r="N306" t="s">
        <v>324</v>
      </c>
      <c r="O306" s="2">
        <v>34</v>
      </c>
      <c r="P306" s="5">
        <v>4.8313090418353577E-2</v>
      </c>
      <c r="R306" t="s">
        <v>324</v>
      </c>
      <c r="S306" s="2">
        <v>21373</v>
      </c>
      <c r="T306" s="2">
        <v>11115</v>
      </c>
    </row>
    <row r="307" spans="14:20" x14ac:dyDescent="0.25">
      <c r="N307" t="s">
        <v>325</v>
      </c>
      <c r="O307" s="2">
        <v>141</v>
      </c>
      <c r="P307" s="5">
        <v>6.8158989812024687E-2</v>
      </c>
      <c r="R307" t="s">
        <v>325</v>
      </c>
      <c r="S307" s="2">
        <v>17863</v>
      </c>
      <c r="T307" s="2">
        <v>6969</v>
      </c>
    </row>
    <row r="308" spans="14:20" x14ac:dyDescent="0.25">
      <c r="N308" t="s">
        <v>326</v>
      </c>
      <c r="O308" s="2">
        <v>12</v>
      </c>
      <c r="P308" s="5">
        <v>3.6710719530102791E-2</v>
      </c>
      <c r="R308" t="s">
        <v>326</v>
      </c>
      <c r="S308" s="2">
        <v>805</v>
      </c>
      <c r="T308" s="2">
        <v>681</v>
      </c>
    </row>
    <row r="309" spans="14:20" x14ac:dyDescent="0.25">
      <c r="N309" t="s">
        <v>327</v>
      </c>
      <c r="O309" s="2">
        <v>202</v>
      </c>
      <c r="P309" s="5">
        <v>4.9458628525598181E-2</v>
      </c>
      <c r="R309" t="s">
        <v>327</v>
      </c>
      <c r="S309" s="2">
        <v>22335</v>
      </c>
      <c r="T309" s="2">
        <v>7481</v>
      </c>
    </row>
    <row r="310" spans="14:20" x14ac:dyDescent="0.25">
      <c r="N310" t="s">
        <v>328</v>
      </c>
      <c r="O310" s="2">
        <v>239</v>
      </c>
      <c r="P310" s="5">
        <v>6.1941214281540348E-2</v>
      </c>
      <c r="R310" t="s">
        <v>328</v>
      </c>
      <c r="S310" s="2">
        <v>21766</v>
      </c>
      <c r="T310" s="2">
        <v>17113</v>
      </c>
    </row>
    <row r="311" spans="14:20" x14ac:dyDescent="0.25">
      <c r="N311" t="s">
        <v>329</v>
      </c>
      <c r="O311" s="2">
        <v>3424</v>
      </c>
      <c r="P311" s="5">
        <v>0.10972167727727221</v>
      </c>
      <c r="R311" t="s">
        <v>329</v>
      </c>
      <c r="S311" s="2">
        <v>221514</v>
      </c>
      <c r="T311" s="2">
        <v>79009</v>
      </c>
    </row>
    <row r="312" spans="14:20" x14ac:dyDescent="0.25">
      <c r="N312" t="s">
        <v>330</v>
      </c>
      <c r="O312" s="2">
        <v>6666</v>
      </c>
      <c r="P312" s="5">
        <v>0.17046811364268308</v>
      </c>
      <c r="R312" t="s">
        <v>330</v>
      </c>
      <c r="S312" s="2">
        <v>486111</v>
      </c>
      <c r="T312" s="2">
        <v>244556</v>
      </c>
    </row>
    <row r="313" spans="14:20" x14ac:dyDescent="0.25">
      <c r="N313" t="s">
        <v>331</v>
      </c>
      <c r="O313" s="2">
        <v>70</v>
      </c>
      <c r="P313" s="5">
        <v>4.6971864568431089E-2</v>
      </c>
      <c r="R313" t="s">
        <v>331</v>
      </c>
      <c r="S313" s="2">
        <v>25657</v>
      </c>
      <c r="T313" s="2">
        <v>12582</v>
      </c>
    </row>
    <row r="314" spans="14:20" x14ac:dyDescent="0.25">
      <c r="N314" t="s">
        <v>332</v>
      </c>
      <c r="O314" s="2">
        <v>3214</v>
      </c>
      <c r="P314" s="5">
        <v>0.10123324467733186</v>
      </c>
      <c r="R314" t="s">
        <v>332</v>
      </c>
      <c r="S314" s="2">
        <v>217580</v>
      </c>
      <c r="T314" s="2">
        <v>151146</v>
      </c>
    </row>
    <row r="315" spans="14:20" x14ac:dyDescent="0.25">
      <c r="N315" t="s">
        <v>333</v>
      </c>
      <c r="O315" s="2">
        <v>128</v>
      </c>
      <c r="P315" s="5">
        <v>4.7472368182641785E-2</v>
      </c>
      <c r="R315" t="s">
        <v>333</v>
      </c>
      <c r="S315" s="2">
        <v>34200</v>
      </c>
      <c r="T315" s="2">
        <v>16557</v>
      </c>
    </row>
    <row r="316" spans="14:20" x14ac:dyDescent="0.25">
      <c r="N316" t="s">
        <v>334</v>
      </c>
      <c r="O316" s="2">
        <v>35</v>
      </c>
      <c r="P316" s="5">
        <v>5.3846153846153849E-2</v>
      </c>
      <c r="R316" t="s">
        <v>334</v>
      </c>
      <c r="S316" s="2">
        <v>3795</v>
      </c>
      <c r="T316" s="2">
        <v>1430</v>
      </c>
    </row>
    <row r="317" spans="14:20" x14ac:dyDescent="0.25">
      <c r="N317" t="s">
        <v>335</v>
      </c>
      <c r="O317" s="2">
        <v>590</v>
      </c>
      <c r="P317" s="5">
        <v>5.5041452592246611E-2</v>
      </c>
      <c r="R317" t="s">
        <v>335</v>
      </c>
      <c r="S317" s="2">
        <v>94750</v>
      </c>
      <c r="T317" s="2">
        <v>68512</v>
      </c>
    </row>
    <row r="318" spans="14:20" x14ac:dyDescent="0.25">
      <c r="N318" t="s">
        <v>336</v>
      </c>
      <c r="O318" s="2">
        <v>1592</v>
      </c>
      <c r="P318" s="5">
        <v>0.13822342678367566</v>
      </c>
      <c r="R318" t="s">
        <v>336</v>
      </c>
      <c r="S318" s="2">
        <v>306186</v>
      </c>
      <c r="T318" s="2">
        <v>114749</v>
      </c>
    </row>
    <row r="319" spans="14:20" x14ac:dyDescent="0.25">
      <c r="N319" t="s">
        <v>337</v>
      </c>
      <c r="O319" s="2">
        <v>92</v>
      </c>
      <c r="P319" s="5">
        <v>2.8283369022127053E-2</v>
      </c>
      <c r="R319" t="s">
        <v>337</v>
      </c>
      <c r="S319" s="2">
        <v>13381</v>
      </c>
      <c r="T319" s="2">
        <v>11208</v>
      </c>
    </row>
    <row r="320" spans="14:20" x14ac:dyDescent="0.25">
      <c r="N320" t="s">
        <v>338</v>
      </c>
      <c r="O320" s="2">
        <v>35</v>
      </c>
      <c r="P320" s="5">
        <v>2.5940811107051515E-2</v>
      </c>
      <c r="R320" t="s">
        <v>338</v>
      </c>
      <c r="S320" s="2">
        <v>4088</v>
      </c>
      <c r="T320" s="2">
        <v>2737</v>
      </c>
    </row>
    <row r="321" spans="14:20" x14ac:dyDescent="0.25">
      <c r="N321" t="s">
        <v>339</v>
      </c>
      <c r="O321" s="2">
        <v>103</v>
      </c>
      <c r="P321" s="5">
        <v>0.1461162411732754</v>
      </c>
      <c r="R321" t="s">
        <v>339</v>
      </c>
      <c r="S321" s="2">
        <v>5598</v>
      </c>
      <c r="T321" s="2">
        <v>3682</v>
      </c>
    </row>
    <row r="322" spans="14:20" x14ac:dyDescent="0.25">
      <c r="N322" t="s">
        <v>340</v>
      </c>
      <c r="O322" s="2">
        <v>4805</v>
      </c>
      <c r="P322" s="5">
        <v>0.13183003437240726</v>
      </c>
      <c r="R322" t="s">
        <v>340</v>
      </c>
      <c r="S322" s="2">
        <v>306705</v>
      </c>
      <c r="T322" s="2">
        <v>134992</v>
      </c>
    </row>
    <row r="323" spans="14:20" x14ac:dyDescent="0.25">
      <c r="N323" t="s">
        <v>341</v>
      </c>
      <c r="O323" s="2">
        <v>165</v>
      </c>
      <c r="P323" s="5">
        <v>7.6725546650066145E-2</v>
      </c>
      <c r="R323" t="s">
        <v>341</v>
      </c>
      <c r="S323" s="2">
        <v>30792</v>
      </c>
      <c r="T323" s="2">
        <v>12851</v>
      </c>
    </row>
    <row r="324" spans="14:20" x14ac:dyDescent="0.25">
      <c r="N324" t="s">
        <v>342</v>
      </c>
      <c r="O324" s="2">
        <v>160</v>
      </c>
      <c r="P324" s="5">
        <v>4.1332044635796504E-2</v>
      </c>
      <c r="R324" t="s">
        <v>342</v>
      </c>
      <c r="S324" s="2">
        <v>73153</v>
      </c>
      <c r="T324" s="2">
        <v>56905</v>
      </c>
    </row>
    <row r="325" spans="14:20" x14ac:dyDescent="0.25">
      <c r="N325" t="s">
        <v>343</v>
      </c>
      <c r="O325" s="2">
        <v>44</v>
      </c>
      <c r="P325" s="5">
        <v>6.0183812629706492E-2</v>
      </c>
      <c r="R325" t="s">
        <v>343</v>
      </c>
      <c r="S325" s="2">
        <v>10732</v>
      </c>
      <c r="T325" s="2">
        <v>3373</v>
      </c>
    </row>
    <row r="326" spans="14:20" x14ac:dyDescent="0.25">
      <c r="N326" t="s">
        <v>344</v>
      </c>
      <c r="O326" s="2">
        <v>80</v>
      </c>
      <c r="P326" s="5">
        <v>6.9305956441878772E-2</v>
      </c>
      <c r="R326" t="s">
        <v>344</v>
      </c>
      <c r="S326" s="2">
        <v>93195</v>
      </c>
      <c r="T326" s="2">
        <v>60976</v>
      </c>
    </row>
    <row r="327" spans="14:20" x14ac:dyDescent="0.25">
      <c r="N327" t="s">
        <v>345</v>
      </c>
      <c r="O327" s="2">
        <v>45</v>
      </c>
      <c r="P327" s="5">
        <v>5.1910507792860737E-2</v>
      </c>
      <c r="R327" t="s">
        <v>345</v>
      </c>
      <c r="S327" s="2">
        <v>17412</v>
      </c>
      <c r="T327" s="2">
        <v>7956</v>
      </c>
    </row>
    <row r="328" spans="14:20" x14ac:dyDescent="0.25">
      <c r="N328" t="s">
        <v>346</v>
      </c>
      <c r="O328" s="2">
        <v>33</v>
      </c>
      <c r="P328" s="5">
        <v>2.667124542124542E-2</v>
      </c>
      <c r="R328" t="s">
        <v>346</v>
      </c>
      <c r="S328" s="2">
        <v>25766</v>
      </c>
      <c r="T328" s="2">
        <v>17472</v>
      </c>
    </row>
    <row r="329" spans="14:20" x14ac:dyDescent="0.25">
      <c r="N329" t="s">
        <v>347</v>
      </c>
      <c r="O329" s="2">
        <v>114</v>
      </c>
      <c r="P329" s="5">
        <v>3.942476324096808E-2</v>
      </c>
      <c r="R329" t="s">
        <v>347</v>
      </c>
      <c r="S329" s="2">
        <v>21648</v>
      </c>
      <c r="T329" s="2">
        <v>14255</v>
      </c>
    </row>
    <row r="330" spans="14:20" x14ac:dyDescent="0.25">
      <c r="N330" t="s">
        <v>348</v>
      </c>
      <c r="O330" s="2">
        <v>143</v>
      </c>
      <c r="P330" s="5">
        <v>3.5196014728178474E-2</v>
      </c>
      <c r="R330" t="s">
        <v>348</v>
      </c>
      <c r="S330" s="2">
        <v>19688</v>
      </c>
      <c r="T330" s="2">
        <v>9234</v>
      </c>
    </row>
    <row r="331" spans="14:20" x14ac:dyDescent="0.25">
      <c r="N331" t="s">
        <v>349</v>
      </c>
      <c r="O331" s="2">
        <v>32</v>
      </c>
      <c r="P331" s="5">
        <v>4.8159134531495375E-2</v>
      </c>
      <c r="R331" t="s">
        <v>349</v>
      </c>
      <c r="S331" s="2">
        <v>8513</v>
      </c>
      <c r="T331" s="2">
        <v>5731</v>
      </c>
    </row>
    <row r="332" spans="14:20" x14ac:dyDescent="0.25">
      <c r="N332" t="s">
        <v>350</v>
      </c>
      <c r="O332" s="2">
        <v>5564</v>
      </c>
      <c r="P332" s="5">
        <v>0.1433285805242438</v>
      </c>
      <c r="R332" t="s">
        <v>350</v>
      </c>
      <c r="S332" s="2">
        <v>316751</v>
      </c>
      <c r="T332" s="2">
        <v>111513</v>
      </c>
    </row>
    <row r="333" spans="14:20" x14ac:dyDescent="0.25">
      <c r="N333" t="s">
        <v>351</v>
      </c>
      <c r="O333" s="2">
        <v>50</v>
      </c>
      <c r="P333" s="5">
        <v>4.4819705434230576E-2</v>
      </c>
      <c r="R333" t="s">
        <v>351</v>
      </c>
      <c r="S333" s="2">
        <v>10552</v>
      </c>
      <c r="T333" s="2">
        <v>7876</v>
      </c>
    </row>
    <row r="334" spans="14:20" x14ac:dyDescent="0.25">
      <c r="N334" t="s">
        <v>352</v>
      </c>
      <c r="O334" s="2">
        <v>191</v>
      </c>
      <c r="P334" s="5">
        <v>5.8722762779224336E-2</v>
      </c>
      <c r="R334" t="s">
        <v>352</v>
      </c>
      <c r="S334" s="2">
        <v>19145</v>
      </c>
      <c r="T334" s="2">
        <v>14594</v>
      </c>
    </row>
    <row r="335" spans="14:20" x14ac:dyDescent="0.25">
      <c r="N335" t="s">
        <v>353</v>
      </c>
      <c r="O335" s="2">
        <v>57</v>
      </c>
      <c r="P335" s="5">
        <v>6.5290446471435434E-2</v>
      </c>
      <c r="R335" t="s">
        <v>353</v>
      </c>
      <c r="S335" s="2">
        <v>9138</v>
      </c>
      <c r="T335" s="2">
        <v>4166</v>
      </c>
    </row>
    <row r="336" spans="14:20" x14ac:dyDescent="0.25">
      <c r="N336" t="s">
        <v>354</v>
      </c>
      <c r="O336" s="2">
        <v>126</v>
      </c>
      <c r="P336" s="5">
        <v>4.8073180225768779E-2</v>
      </c>
      <c r="R336" t="s">
        <v>354</v>
      </c>
      <c r="S336" s="2">
        <v>11044</v>
      </c>
      <c r="T336" s="2">
        <v>5138</v>
      </c>
    </row>
    <row r="337" spans="14:20" x14ac:dyDescent="0.25">
      <c r="N337" t="s">
        <v>355</v>
      </c>
      <c r="O337" s="2">
        <v>66</v>
      </c>
      <c r="P337" s="5">
        <v>4.0484015536301168E-2</v>
      </c>
      <c r="R337" t="s">
        <v>355</v>
      </c>
      <c r="S337" s="2">
        <v>12620</v>
      </c>
      <c r="T337" s="2">
        <v>6694</v>
      </c>
    </row>
    <row r="338" spans="14:20" x14ac:dyDescent="0.25">
      <c r="N338" t="s">
        <v>356</v>
      </c>
      <c r="O338" s="2">
        <v>2598</v>
      </c>
      <c r="P338" s="5">
        <v>8.0890497511661649E-2</v>
      </c>
      <c r="R338" t="s">
        <v>356</v>
      </c>
      <c r="S338" s="2">
        <v>247191</v>
      </c>
      <c r="T338" s="2">
        <v>128198</v>
      </c>
    </row>
    <row r="339" spans="14:20" x14ac:dyDescent="0.25">
      <c r="N339" t="s">
        <v>357</v>
      </c>
      <c r="O339" s="2">
        <v>261</v>
      </c>
      <c r="P339" s="5">
        <v>7.8243291450315111E-2</v>
      </c>
      <c r="R339" t="s">
        <v>357</v>
      </c>
      <c r="S339" s="2">
        <v>31709</v>
      </c>
      <c r="T339" s="2">
        <v>25229</v>
      </c>
    </row>
    <row r="340" spans="14:20" x14ac:dyDescent="0.25">
      <c r="N340" t="s">
        <v>358</v>
      </c>
      <c r="O340" s="2">
        <v>231</v>
      </c>
      <c r="P340" s="5">
        <v>5.0739113064322813E-2</v>
      </c>
      <c r="R340" t="s">
        <v>358</v>
      </c>
      <c r="S340" s="2">
        <v>29217</v>
      </c>
      <c r="T340" s="2">
        <v>17521</v>
      </c>
    </row>
    <row r="341" spans="14:20" x14ac:dyDescent="0.25">
      <c r="N341" t="s">
        <v>359</v>
      </c>
      <c r="O341" s="2">
        <v>17</v>
      </c>
      <c r="P341" s="5">
        <v>5.1819864281307831E-2</v>
      </c>
      <c r="R341" t="s">
        <v>359</v>
      </c>
      <c r="S341" s="2">
        <v>8066</v>
      </c>
      <c r="T341" s="2">
        <v>4863</v>
      </c>
    </row>
    <row r="342" spans="14:20" x14ac:dyDescent="0.25">
      <c r="N342" t="s">
        <v>360</v>
      </c>
      <c r="O342" s="2">
        <v>2604</v>
      </c>
      <c r="P342" s="5">
        <v>8.224507830526781E-2</v>
      </c>
      <c r="R342" t="s">
        <v>360</v>
      </c>
      <c r="S342" s="2">
        <v>264047</v>
      </c>
      <c r="T342" s="2">
        <v>81476</v>
      </c>
    </row>
    <row r="343" spans="14:20" x14ac:dyDescent="0.25">
      <c r="N343" t="s">
        <v>361</v>
      </c>
      <c r="O343" s="2">
        <v>78</v>
      </c>
      <c r="P343" s="5">
        <v>6.6322629969418956E-2</v>
      </c>
      <c r="R343" t="s">
        <v>361</v>
      </c>
      <c r="S343" s="2">
        <v>13164</v>
      </c>
      <c r="T343" s="2">
        <v>10464</v>
      </c>
    </row>
    <row r="344" spans="14:20" x14ac:dyDescent="0.25">
      <c r="N344" t="s">
        <v>362</v>
      </c>
      <c r="O344" s="2">
        <v>1427</v>
      </c>
      <c r="P344" s="5">
        <v>0.16552694526523146</v>
      </c>
      <c r="R344" t="s">
        <v>362</v>
      </c>
      <c r="S344" s="2">
        <v>56416</v>
      </c>
      <c r="T344" s="2">
        <v>35535</v>
      </c>
    </row>
    <row r="345" spans="14:20" x14ac:dyDescent="0.25">
      <c r="N345" t="s">
        <v>363</v>
      </c>
      <c r="O345" s="2">
        <v>345</v>
      </c>
      <c r="P345" s="5">
        <v>5.5529969076912954E-2</v>
      </c>
      <c r="R345" t="s">
        <v>363</v>
      </c>
      <c r="S345" s="2">
        <v>28841</v>
      </c>
      <c r="T345" s="2">
        <v>15199</v>
      </c>
    </row>
    <row r="346" spans="14:20" x14ac:dyDescent="0.25">
      <c r="N346" t="s">
        <v>364</v>
      </c>
      <c r="O346" s="2">
        <v>5666</v>
      </c>
      <c r="P346" s="5">
        <v>0.11625918100412516</v>
      </c>
      <c r="R346" t="s">
        <v>364</v>
      </c>
      <c r="S346" s="2">
        <v>214985</v>
      </c>
      <c r="T346" s="2">
        <v>119268</v>
      </c>
    </row>
    <row r="347" spans="14:20" x14ac:dyDescent="0.25">
      <c r="N347" t="s">
        <v>365</v>
      </c>
      <c r="O347" s="2">
        <v>219</v>
      </c>
      <c r="P347" s="5">
        <v>5.403889304412865E-2</v>
      </c>
      <c r="R347" t="s">
        <v>365</v>
      </c>
      <c r="S347" s="2">
        <v>31504</v>
      </c>
      <c r="T347" s="2">
        <v>10696</v>
      </c>
    </row>
    <row r="348" spans="14:20" x14ac:dyDescent="0.25">
      <c r="N348" t="s">
        <v>366</v>
      </c>
      <c r="O348" s="2">
        <v>1227</v>
      </c>
      <c r="P348" s="5">
        <v>6.558486700084154E-2</v>
      </c>
      <c r="R348" t="s">
        <v>366</v>
      </c>
      <c r="S348" s="2">
        <v>102103</v>
      </c>
      <c r="T348" s="2">
        <v>54662</v>
      </c>
    </row>
    <row r="349" spans="14:20" x14ac:dyDescent="0.25">
      <c r="N349" t="s">
        <v>367</v>
      </c>
      <c r="O349" s="2">
        <v>69</v>
      </c>
      <c r="P349" s="5">
        <v>3.8397212543554007E-2</v>
      </c>
      <c r="R349" t="s">
        <v>367</v>
      </c>
      <c r="S349" s="2">
        <v>19717</v>
      </c>
      <c r="T349" s="2">
        <v>14350</v>
      </c>
    </row>
    <row r="350" spans="14:20" x14ac:dyDescent="0.25">
      <c r="N350" t="s">
        <v>368</v>
      </c>
      <c r="O350" s="2">
        <v>33</v>
      </c>
      <c r="P350" s="5">
        <v>3.6438075742067554E-2</v>
      </c>
      <c r="R350" t="s">
        <v>368</v>
      </c>
      <c r="S350" s="2">
        <v>7459</v>
      </c>
      <c r="T350" s="2">
        <v>4885</v>
      </c>
    </row>
    <row r="351" spans="14:20" x14ac:dyDescent="0.25">
      <c r="N351" t="s">
        <v>369</v>
      </c>
      <c r="O351" s="2">
        <v>201</v>
      </c>
      <c r="P351" s="5">
        <v>2.2406820417531972E-2</v>
      </c>
      <c r="R351" t="s">
        <v>369</v>
      </c>
      <c r="S351" s="2">
        <v>22811</v>
      </c>
      <c r="T351" s="2">
        <v>18298</v>
      </c>
    </row>
    <row r="352" spans="14:20" x14ac:dyDescent="0.25">
      <c r="N352" t="s">
        <v>370</v>
      </c>
      <c r="O352" s="2">
        <v>526</v>
      </c>
      <c r="P352" s="5">
        <v>4.7795730369937124E-2</v>
      </c>
      <c r="R352" t="s">
        <v>370</v>
      </c>
      <c r="S352" s="2">
        <v>73989</v>
      </c>
      <c r="T352" s="2">
        <v>54712</v>
      </c>
    </row>
    <row r="353" spans="14:20" x14ac:dyDescent="0.25">
      <c r="N353" t="s">
        <v>371</v>
      </c>
      <c r="O353" s="2">
        <v>8</v>
      </c>
      <c r="P353" s="5">
        <v>5.2453468697123522E-2</v>
      </c>
      <c r="R353" t="s">
        <v>371</v>
      </c>
      <c r="S353" s="2">
        <v>2343</v>
      </c>
      <c r="T353" s="2">
        <v>1773</v>
      </c>
    </row>
    <row r="354" spans="14:20" x14ac:dyDescent="0.25">
      <c r="N354" t="s">
        <v>372</v>
      </c>
      <c r="O354" s="2">
        <v>339</v>
      </c>
      <c r="P354" s="5">
        <v>6.5307808841757339E-2</v>
      </c>
      <c r="R354" t="s">
        <v>372</v>
      </c>
      <c r="S354" s="2">
        <v>66048</v>
      </c>
      <c r="T354" s="2">
        <v>36305</v>
      </c>
    </row>
    <row r="355" spans="14:20" x14ac:dyDescent="0.25">
      <c r="N355" t="s">
        <v>373</v>
      </c>
      <c r="O355" s="2">
        <v>143</v>
      </c>
      <c r="P355" s="5">
        <v>5.9813189286518118E-2</v>
      </c>
      <c r="R355" t="s">
        <v>373</v>
      </c>
      <c r="S355" s="2">
        <v>27305</v>
      </c>
      <c r="T355" s="2">
        <v>17772</v>
      </c>
    </row>
    <row r="356" spans="14:20" x14ac:dyDescent="0.25">
      <c r="N356" t="s">
        <v>374</v>
      </c>
      <c r="O356" s="2">
        <v>4516</v>
      </c>
      <c r="P356" s="5">
        <v>0.10233922778449209</v>
      </c>
      <c r="R356" t="s">
        <v>374</v>
      </c>
      <c r="S356" s="2">
        <v>361953</v>
      </c>
      <c r="T356" s="2">
        <v>125768</v>
      </c>
    </row>
    <row r="357" spans="14:20" x14ac:dyDescent="0.25">
      <c r="N357" t="s">
        <v>375</v>
      </c>
      <c r="O357" s="2">
        <v>2917</v>
      </c>
      <c r="P357" s="5">
        <v>8.302505464940306E-2</v>
      </c>
      <c r="R357" t="s">
        <v>375</v>
      </c>
      <c r="S357" s="2">
        <v>263357</v>
      </c>
      <c r="T357" s="2">
        <v>95152</v>
      </c>
    </row>
    <row r="358" spans="14:20" x14ac:dyDescent="0.25">
      <c r="N358" t="s">
        <v>376</v>
      </c>
      <c r="O358" s="2">
        <v>73</v>
      </c>
      <c r="P358" s="5">
        <v>6.9960496937081354E-2</v>
      </c>
      <c r="R358" t="s">
        <v>376</v>
      </c>
      <c r="S358" s="2">
        <v>23966</v>
      </c>
      <c r="T358" s="2">
        <v>17467</v>
      </c>
    </row>
    <row r="359" spans="14:20" x14ac:dyDescent="0.25">
      <c r="N359" t="s">
        <v>377</v>
      </c>
      <c r="O359" s="2">
        <v>122</v>
      </c>
      <c r="P359" s="5">
        <v>3.1898674797701421E-2</v>
      </c>
      <c r="R359" t="s">
        <v>377</v>
      </c>
      <c r="S359" s="2">
        <v>52418</v>
      </c>
      <c r="T359" s="2">
        <v>25581</v>
      </c>
    </row>
    <row r="360" spans="14:20" x14ac:dyDescent="0.25">
      <c r="N360" t="s">
        <v>378</v>
      </c>
      <c r="O360" s="2">
        <v>116</v>
      </c>
      <c r="P360" s="5">
        <v>3.7897676274060037E-2</v>
      </c>
      <c r="R360" t="s">
        <v>378</v>
      </c>
      <c r="S360" s="2">
        <v>31576</v>
      </c>
      <c r="T360" s="2">
        <v>10027</v>
      </c>
    </row>
    <row r="361" spans="14:20" x14ac:dyDescent="0.25">
      <c r="N361" t="s">
        <v>379</v>
      </c>
      <c r="O361" s="2">
        <v>565</v>
      </c>
      <c r="P361" s="5">
        <v>5.5718738760340489E-2</v>
      </c>
      <c r="R361" t="s">
        <v>379</v>
      </c>
      <c r="S361" s="2">
        <v>87496</v>
      </c>
      <c r="T361" s="2">
        <v>66728</v>
      </c>
    </row>
    <row r="362" spans="14:20" x14ac:dyDescent="0.25">
      <c r="N362" t="s">
        <v>380</v>
      </c>
      <c r="O362" s="2">
        <v>346</v>
      </c>
      <c r="P362" s="5">
        <v>4.4313273826662829E-2</v>
      </c>
      <c r="R362" t="s">
        <v>380</v>
      </c>
      <c r="S362" s="2">
        <v>43720</v>
      </c>
      <c r="T362" s="2">
        <v>34730</v>
      </c>
    </row>
    <row r="363" spans="14:20" x14ac:dyDescent="0.25">
      <c r="N363" t="s">
        <v>381</v>
      </c>
      <c r="O363" s="2">
        <v>79</v>
      </c>
      <c r="P363" s="5">
        <v>5.8356545961002787E-2</v>
      </c>
      <c r="R363" t="s">
        <v>381</v>
      </c>
      <c r="S363" s="2">
        <v>12715</v>
      </c>
      <c r="T363" s="2">
        <v>7180</v>
      </c>
    </row>
    <row r="364" spans="14:20" x14ac:dyDescent="0.25">
      <c r="N364" t="s">
        <v>382</v>
      </c>
      <c r="O364" s="2">
        <v>12263</v>
      </c>
      <c r="P364" s="5">
        <v>0.1771390602752729</v>
      </c>
      <c r="R364" t="s">
        <v>382</v>
      </c>
      <c r="S364" s="2">
        <v>432919</v>
      </c>
      <c r="T364" s="2">
        <v>263375</v>
      </c>
    </row>
    <row r="365" spans="14:20" x14ac:dyDescent="0.25">
      <c r="N365" t="s">
        <v>383</v>
      </c>
      <c r="O365" s="2">
        <v>64</v>
      </c>
      <c r="P365" s="5">
        <v>5.785290270650971E-2</v>
      </c>
      <c r="R365" t="s">
        <v>383</v>
      </c>
      <c r="S365" s="2">
        <v>18210</v>
      </c>
      <c r="T365" s="2">
        <v>9939</v>
      </c>
    </row>
    <row r="366" spans="14:20" x14ac:dyDescent="0.25">
      <c r="N366" t="s">
        <v>384</v>
      </c>
      <c r="O366" s="2">
        <v>24</v>
      </c>
      <c r="P366" s="5">
        <v>6.8058076225045366E-2</v>
      </c>
      <c r="R366" t="s">
        <v>384</v>
      </c>
      <c r="S366" s="2">
        <v>2650</v>
      </c>
      <c r="T366" s="2">
        <v>1102</v>
      </c>
    </row>
    <row r="367" spans="14:20" x14ac:dyDescent="0.25">
      <c r="N367" t="s">
        <v>385</v>
      </c>
      <c r="O367" s="2">
        <v>966</v>
      </c>
      <c r="P367" s="5">
        <v>8.0345911949685531E-2</v>
      </c>
      <c r="R367" t="s">
        <v>385</v>
      </c>
      <c r="S367" s="2">
        <v>89043</v>
      </c>
      <c r="T367" s="2">
        <v>57240</v>
      </c>
    </row>
    <row r="368" spans="14:20" x14ac:dyDescent="0.25">
      <c r="N368" t="s">
        <v>386</v>
      </c>
      <c r="O368" s="2">
        <v>110</v>
      </c>
      <c r="P368" s="5">
        <v>6.0321358031281698E-2</v>
      </c>
      <c r="R368" t="s">
        <v>386</v>
      </c>
      <c r="S368" s="2">
        <v>32036</v>
      </c>
      <c r="T368" s="2">
        <v>18733</v>
      </c>
    </row>
    <row r="369" spans="14:20" x14ac:dyDescent="0.25">
      <c r="N369" t="s">
        <v>387</v>
      </c>
      <c r="O369" s="2">
        <v>2015</v>
      </c>
      <c r="P369" s="5">
        <v>0.14637575436036873</v>
      </c>
      <c r="R369" t="s">
        <v>387</v>
      </c>
      <c r="S369" s="2">
        <v>162673</v>
      </c>
      <c r="T369" s="2">
        <v>75395</v>
      </c>
    </row>
    <row r="370" spans="14:20" x14ac:dyDescent="0.25">
      <c r="N370" t="s">
        <v>388</v>
      </c>
      <c r="O370" s="2">
        <v>117</v>
      </c>
      <c r="P370" s="5">
        <v>4.788404296622234E-2</v>
      </c>
      <c r="R370" t="s">
        <v>388</v>
      </c>
      <c r="S370" s="2">
        <v>31659</v>
      </c>
      <c r="T370" s="2">
        <v>15454</v>
      </c>
    </row>
    <row r="371" spans="14:20" x14ac:dyDescent="0.25">
      <c r="N371" t="s">
        <v>389</v>
      </c>
      <c r="O371" s="2">
        <v>1470</v>
      </c>
      <c r="P371" s="5">
        <v>0.13132292676822974</v>
      </c>
      <c r="R371" t="s">
        <v>389</v>
      </c>
      <c r="S371" s="2">
        <v>280772</v>
      </c>
      <c r="T371" s="2">
        <v>95901</v>
      </c>
    </row>
    <row r="372" spans="14:20" x14ac:dyDescent="0.25">
      <c r="N372" t="s">
        <v>390</v>
      </c>
      <c r="O372" s="2">
        <v>597</v>
      </c>
      <c r="P372" s="5">
        <v>0.1708652024419339</v>
      </c>
      <c r="R372" t="s">
        <v>390</v>
      </c>
      <c r="S372" s="2">
        <v>28931</v>
      </c>
      <c r="T372" s="2">
        <v>14251</v>
      </c>
    </row>
    <row r="373" spans="14:20" x14ac:dyDescent="0.25">
      <c r="N373" t="s">
        <v>391</v>
      </c>
      <c r="O373" s="2">
        <v>499</v>
      </c>
      <c r="P373" s="5">
        <v>0.13398255998981606</v>
      </c>
      <c r="R373" t="s">
        <v>391</v>
      </c>
      <c r="S373" s="2">
        <v>48646</v>
      </c>
      <c r="T373" s="2">
        <v>15711</v>
      </c>
    </row>
    <row r="374" spans="14:20" x14ac:dyDescent="0.25">
      <c r="N374" t="s">
        <v>392</v>
      </c>
      <c r="O374" s="2">
        <v>5190</v>
      </c>
      <c r="P374" s="5">
        <v>0.17767321109849099</v>
      </c>
      <c r="R374" t="s">
        <v>392</v>
      </c>
      <c r="S374" s="2">
        <v>185450</v>
      </c>
      <c r="T374" s="2">
        <v>104771</v>
      </c>
    </row>
    <row r="375" spans="14:20" x14ac:dyDescent="0.25">
      <c r="N375" t="s">
        <v>393</v>
      </c>
      <c r="O375" s="2">
        <v>17</v>
      </c>
      <c r="P375" s="5">
        <v>7.7666151468315306E-2</v>
      </c>
      <c r="R375" t="s">
        <v>393</v>
      </c>
      <c r="S375" s="2">
        <v>4906</v>
      </c>
      <c r="T375" s="2">
        <v>2588</v>
      </c>
    </row>
    <row r="376" spans="14:20" x14ac:dyDescent="0.25">
      <c r="N376" t="s">
        <v>394</v>
      </c>
      <c r="O376" s="2">
        <v>503</v>
      </c>
      <c r="P376" s="5">
        <v>5.2932275099595444E-2</v>
      </c>
      <c r="R376" t="s">
        <v>394</v>
      </c>
      <c r="S376" s="2">
        <v>85302</v>
      </c>
      <c r="T376" s="2">
        <v>32381</v>
      </c>
    </row>
    <row r="377" spans="14:20" x14ac:dyDescent="0.25">
      <c r="N377" t="s">
        <v>395</v>
      </c>
      <c r="O377" s="2">
        <v>578</v>
      </c>
      <c r="P377" s="5">
        <v>8.4595185995623629E-2</v>
      </c>
      <c r="R377" t="s">
        <v>395</v>
      </c>
      <c r="S377" s="2">
        <v>36362</v>
      </c>
      <c r="T377" s="2">
        <v>22850</v>
      </c>
    </row>
    <row r="378" spans="14:20" x14ac:dyDescent="0.25">
      <c r="N378" t="s">
        <v>396</v>
      </c>
      <c r="O378" s="2">
        <v>39</v>
      </c>
      <c r="P378" s="5">
        <v>2.5216383834253391E-2</v>
      </c>
      <c r="R378" t="s">
        <v>396</v>
      </c>
      <c r="S378" s="2">
        <v>19564</v>
      </c>
      <c r="T378" s="2">
        <v>14673</v>
      </c>
    </row>
    <row r="379" spans="14:20" x14ac:dyDescent="0.25">
      <c r="N379" t="s">
        <v>397</v>
      </c>
      <c r="O379" s="2">
        <v>3416</v>
      </c>
      <c r="P379" s="5">
        <v>0.17753850263533716</v>
      </c>
      <c r="R379" t="s">
        <v>397</v>
      </c>
      <c r="S379" s="2">
        <v>142015</v>
      </c>
      <c r="T379" s="2">
        <v>97331</v>
      </c>
    </row>
    <row r="380" spans="14:20" x14ac:dyDescent="0.25">
      <c r="N380" t="s">
        <v>398</v>
      </c>
      <c r="O380" s="2">
        <v>4420</v>
      </c>
      <c r="P380" s="5">
        <v>0.1298637881085751</v>
      </c>
      <c r="R380" t="s">
        <v>398</v>
      </c>
      <c r="S380" s="2">
        <v>396464</v>
      </c>
      <c r="T380" s="2">
        <v>212977</v>
      </c>
    </row>
    <row r="381" spans="14:20" x14ac:dyDescent="0.25">
      <c r="N381" t="s">
        <v>399</v>
      </c>
      <c r="O381" s="2">
        <v>249</v>
      </c>
      <c r="P381" s="5">
        <v>6.3054149701282397E-2</v>
      </c>
      <c r="R381" t="s">
        <v>399</v>
      </c>
      <c r="S381" s="2">
        <v>65239</v>
      </c>
      <c r="T381" s="2">
        <v>26279</v>
      </c>
    </row>
    <row r="382" spans="14:20" x14ac:dyDescent="0.25">
      <c r="N382" t="s">
        <v>400</v>
      </c>
      <c r="O382" s="2">
        <v>13325</v>
      </c>
      <c r="P382" s="5">
        <v>9.7322681268985051E-2</v>
      </c>
      <c r="R382" t="s">
        <v>400</v>
      </c>
      <c r="S382" s="2">
        <v>481371</v>
      </c>
      <c r="T382" s="2">
        <v>293652</v>
      </c>
    </row>
    <row r="383" spans="14:20" x14ac:dyDescent="0.25">
      <c r="N383" t="s">
        <v>401</v>
      </c>
      <c r="O383" s="2">
        <v>149</v>
      </c>
      <c r="P383" s="5">
        <v>6.621054954756124E-2</v>
      </c>
      <c r="R383" t="s">
        <v>401</v>
      </c>
      <c r="S383" s="2">
        <v>33792</v>
      </c>
      <c r="T383" s="2">
        <v>18124</v>
      </c>
    </row>
    <row r="384" spans="14:20" x14ac:dyDescent="0.25">
      <c r="N384" t="s">
        <v>402</v>
      </c>
      <c r="O384" s="2">
        <v>4347</v>
      </c>
      <c r="P384" s="5">
        <v>0.10081241124817666</v>
      </c>
      <c r="R384" t="s">
        <v>402</v>
      </c>
      <c r="S384" s="2">
        <v>273471</v>
      </c>
      <c r="T384" s="2">
        <v>103519</v>
      </c>
    </row>
    <row r="385" spans="14:20" x14ac:dyDescent="0.25">
      <c r="N385" t="s">
        <v>403</v>
      </c>
      <c r="O385" s="2">
        <v>120</v>
      </c>
      <c r="P385" s="5">
        <v>7.0711161509800752E-2</v>
      </c>
      <c r="R385" t="s">
        <v>403</v>
      </c>
      <c r="S385" s="2">
        <v>18169</v>
      </c>
      <c r="T385" s="2">
        <v>12346</v>
      </c>
    </row>
    <row r="386" spans="14:20" x14ac:dyDescent="0.25">
      <c r="N386" t="s">
        <v>404</v>
      </c>
      <c r="O386" s="2">
        <v>1427</v>
      </c>
      <c r="P386" s="5">
        <v>6.57011326815512E-2</v>
      </c>
      <c r="R386" t="s">
        <v>404</v>
      </c>
      <c r="S386" s="2">
        <v>219497</v>
      </c>
      <c r="T386" s="2">
        <v>107091</v>
      </c>
    </row>
    <row r="387" spans="14:20" x14ac:dyDescent="0.25">
      <c r="N387" t="s">
        <v>405</v>
      </c>
      <c r="O387" s="2">
        <v>55</v>
      </c>
      <c r="P387" s="5">
        <v>7.8221078221078225E-2</v>
      </c>
      <c r="R387" t="s">
        <v>405</v>
      </c>
      <c r="S387" s="2">
        <v>9396</v>
      </c>
      <c r="T387" s="2">
        <v>6993</v>
      </c>
    </row>
    <row r="388" spans="14:20" x14ac:dyDescent="0.25">
      <c r="N388" t="s">
        <v>406</v>
      </c>
      <c r="O388" s="2">
        <v>279</v>
      </c>
      <c r="P388" s="5">
        <v>9.7409463388844833E-2</v>
      </c>
      <c r="R388" t="s">
        <v>406</v>
      </c>
      <c r="S388" s="2">
        <v>49233</v>
      </c>
      <c r="T388" s="2">
        <v>30264</v>
      </c>
    </row>
    <row r="389" spans="14:20" x14ac:dyDescent="0.25">
      <c r="N389" t="s">
        <v>407</v>
      </c>
      <c r="O389" s="2">
        <v>76</v>
      </c>
      <c r="P389" s="5">
        <v>4.7992001333111149E-2</v>
      </c>
      <c r="R389" t="s">
        <v>407</v>
      </c>
      <c r="S389" s="2">
        <v>12764</v>
      </c>
      <c r="T389" s="2">
        <v>6001</v>
      </c>
    </row>
    <row r="390" spans="14:20" x14ac:dyDescent="0.25">
      <c r="N390" t="s">
        <v>408</v>
      </c>
      <c r="O390" s="2">
        <v>213</v>
      </c>
      <c r="P390" s="5">
        <v>7.5694444444444439E-2</v>
      </c>
      <c r="R390" t="s">
        <v>408</v>
      </c>
      <c r="S390" s="2">
        <v>64438</v>
      </c>
      <c r="T390" s="2">
        <v>48960</v>
      </c>
    </row>
    <row r="391" spans="14:20" x14ac:dyDescent="0.25">
      <c r="N391" t="s">
        <v>409</v>
      </c>
      <c r="O391" s="2">
        <v>65</v>
      </c>
      <c r="P391" s="5">
        <v>2.8676245796392542E-2</v>
      </c>
      <c r="R391" t="s">
        <v>409</v>
      </c>
      <c r="S391" s="2">
        <v>18371</v>
      </c>
      <c r="T391" s="2">
        <v>16355</v>
      </c>
    </row>
    <row r="392" spans="14:20" x14ac:dyDescent="0.25">
      <c r="N392" t="s">
        <v>410</v>
      </c>
      <c r="O392" s="2">
        <v>55</v>
      </c>
      <c r="P392" s="5">
        <v>8.0758494561555497E-2</v>
      </c>
      <c r="R392" t="s">
        <v>410</v>
      </c>
      <c r="S392" s="2">
        <v>32912</v>
      </c>
      <c r="T392" s="2">
        <v>20778</v>
      </c>
    </row>
    <row r="393" spans="14:20" x14ac:dyDescent="0.25">
      <c r="N393" t="s">
        <v>411</v>
      </c>
      <c r="O393" s="2">
        <v>31</v>
      </c>
      <c r="P393" s="5">
        <v>6.1241610738255035E-2</v>
      </c>
      <c r="R393" t="s">
        <v>411</v>
      </c>
      <c r="S393" s="2">
        <v>3002</v>
      </c>
      <c r="T393" s="2">
        <v>1192</v>
      </c>
    </row>
    <row r="394" spans="14:20" x14ac:dyDescent="0.25">
      <c r="N394" t="s">
        <v>412</v>
      </c>
      <c r="O394" s="2">
        <v>160</v>
      </c>
      <c r="P394" s="5">
        <v>5.166033927627469E-2</v>
      </c>
      <c r="R394" t="s">
        <v>412</v>
      </c>
      <c r="S394" s="2">
        <v>32223</v>
      </c>
      <c r="T394" s="2">
        <v>20809</v>
      </c>
    </row>
    <row r="395" spans="14:20" x14ac:dyDescent="0.25">
      <c r="N395" t="s">
        <v>413</v>
      </c>
      <c r="O395" s="2">
        <v>84</v>
      </c>
      <c r="P395" s="5">
        <v>3.3104649896547968E-2</v>
      </c>
      <c r="R395" t="s">
        <v>413</v>
      </c>
      <c r="S395" s="2">
        <v>69821</v>
      </c>
      <c r="T395" s="2">
        <v>36732</v>
      </c>
    </row>
    <row r="396" spans="14:20" x14ac:dyDescent="0.25">
      <c r="N396" t="s">
        <v>414</v>
      </c>
      <c r="O396" s="2">
        <v>126</v>
      </c>
      <c r="P396" s="5">
        <v>5.0464210841569331E-2</v>
      </c>
      <c r="R396" t="s">
        <v>414</v>
      </c>
      <c r="S396" s="2">
        <v>12511</v>
      </c>
      <c r="T396" s="2">
        <v>6678</v>
      </c>
    </row>
    <row r="397" spans="14:20" x14ac:dyDescent="0.25">
      <c r="N397" t="s">
        <v>415</v>
      </c>
      <c r="O397" s="2">
        <v>19</v>
      </c>
      <c r="P397" s="5">
        <v>4.1299042613103062E-2</v>
      </c>
      <c r="R397" t="s">
        <v>415</v>
      </c>
      <c r="S397" s="2">
        <v>8567</v>
      </c>
      <c r="T397" s="2">
        <v>5327</v>
      </c>
    </row>
    <row r="398" spans="14:20" x14ac:dyDescent="0.25">
      <c r="N398" t="s">
        <v>416</v>
      </c>
      <c r="O398" s="2">
        <v>290</v>
      </c>
      <c r="P398" s="5">
        <v>6.6781292984869331E-2</v>
      </c>
      <c r="R398" t="s">
        <v>416</v>
      </c>
      <c r="S398" s="2">
        <v>31744</v>
      </c>
      <c r="T398" s="2">
        <v>14540</v>
      </c>
    </row>
    <row r="399" spans="14:20" x14ac:dyDescent="0.25">
      <c r="N399" t="s">
        <v>417</v>
      </c>
      <c r="O399" s="2">
        <v>66</v>
      </c>
      <c r="P399" s="5">
        <v>6.9159240604416888E-2</v>
      </c>
      <c r="R399" t="s">
        <v>417</v>
      </c>
      <c r="S399" s="2">
        <v>7127</v>
      </c>
      <c r="T399" s="2">
        <v>5162</v>
      </c>
    </row>
    <row r="400" spans="14:20" x14ac:dyDescent="0.25">
      <c r="N400" t="s">
        <v>418</v>
      </c>
      <c r="O400" s="2">
        <v>89</v>
      </c>
      <c r="P400" s="5">
        <v>4.8834417840672183E-2</v>
      </c>
      <c r="R400" t="s">
        <v>418</v>
      </c>
      <c r="S400" s="2">
        <v>21322</v>
      </c>
      <c r="T400" s="2">
        <v>15829</v>
      </c>
    </row>
    <row r="401" spans="14:20" x14ac:dyDescent="0.25">
      <c r="N401" t="s">
        <v>419</v>
      </c>
      <c r="O401" s="2">
        <v>16</v>
      </c>
      <c r="P401" s="5">
        <v>4.195501730103806E-2</v>
      </c>
      <c r="R401" t="s">
        <v>419</v>
      </c>
      <c r="S401" s="2">
        <v>2785</v>
      </c>
      <c r="T401" s="2">
        <v>2312</v>
      </c>
    </row>
    <row r="402" spans="14:20" x14ac:dyDescent="0.25">
      <c r="N402" t="s">
        <v>420</v>
      </c>
      <c r="O402" s="2">
        <v>41</v>
      </c>
      <c r="P402" s="5">
        <v>3.7724368725281412E-2</v>
      </c>
      <c r="R402" t="s">
        <v>420</v>
      </c>
      <c r="S402" s="2">
        <v>6106</v>
      </c>
      <c r="T402" s="2">
        <v>3287</v>
      </c>
    </row>
    <row r="403" spans="14:20" x14ac:dyDescent="0.25">
      <c r="N403" t="s">
        <v>421</v>
      </c>
      <c r="O403" s="2">
        <v>1806</v>
      </c>
      <c r="P403" s="5">
        <v>0.12542372881355932</v>
      </c>
      <c r="R403" t="s">
        <v>421</v>
      </c>
      <c r="S403" s="2">
        <v>184139</v>
      </c>
      <c r="T403" s="2">
        <v>107085</v>
      </c>
    </row>
    <row r="404" spans="14:20" x14ac:dyDescent="0.25">
      <c r="N404" t="s">
        <v>422</v>
      </c>
      <c r="O404" s="2">
        <v>40</v>
      </c>
      <c r="P404" s="5">
        <v>6.4076218942648977E-2</v>
      </c>
      <c r="R404" t="s">
        <v>422</v>
      </c>
      <c r="S404" s="2">
        <v>26764</v>
      </c>
      <c r="T404" s="2">
        <v>10706</v>
      </c>
    </row>
    <row r="405" spans="14:20" x14ac:dyDescent="0.25">
      <c r="N405" t="s">
        <v>423</v>
      </c>
      <c r="O405" s="2">
        <v>573</v>
      </c>
      <c r="P405" s="5">
        <v>4.0879499617053866E-2</v>
      </c>
      <c r="R405" t="s">
        <v>423</v>
      </c>
      <c r="S405" s="2">
        <v>49797</v>
      </c>
      <c r="T405" s="2">
        <v>31336</v>
      </c>
    </row>
    <row r="406" spans="14:20" x14ac:dyDescent="0.25">
      <c r="N406" t="s">
        <v>424</v>
      </c>
      <c r="O406" s="2">
        <v>47</v>
      </c>
      <c r="P406" s="5">
        <v>4.7335161559556457E-2</v>
      </c>
      <c r="R406" t="s">
        <v>424</v>
      </c>
      <c r="S406" s="2">
        <v>35525</v>
      </c>
      <c r="T406" s="2">
        <v>25161</v>
      </c>
    </row>
    <row r="407" spans="14:20" x14ac:dyDescent="0.25">
      <c r="N407" t="s">
        <v>425</v>
      </c>
      <c r="O407" s="2">
        <v>87</v>
      </c>
      <c r="P407" s="5">
        <v>8.1471660589990058E-2</v>
      </c>
      <c r="R407" t="s">
        <v>425</v>
      </c>
      <c r="S407" s="2">
        <v>19195</v>
      </c>
      <c r="T407" s="2">
        <v>15085</v>
      </c>
    </row>
    <row r="408" spans="14:20" x14ac:dyDescent="0.25">
      <c r="N408" t="s">
        <v>426</v>
      </c>
      <c r="O408" s="2">
        <v>822</v>
      </c>
      <c r="P408" s="5">
        <v>0.10558904109589042</v>
      </c>
      <c r="R408" t="s">
        <v>426</v>
      </c>
      <c r="S408" s="2">
        <v>46574</v>
      </c>
      <c r="T408" s="2">
        <v>18250</v>
      </c>
    </row>
    <row r="409" spans="14:20" x14ac:dyDescent="0.25">
      <c r="N409" t="s">
        <v>427</v>
      </c>
      <c r="O409" s="2">
        <v>172</v>
      </c>
      <c r="P409" s="5">
        <v>4.3456084871977968E-2</v>
      </c>
      <c r="R409" t="s">
        <v>427</v>
      </c>
      <c r="S409" s="2">
        <v>11288</v>
      </c>
      <c r="T409" s="2">
        <v>9803</v>
      </c>
    </row>
    <row r="410" spans="14:20" x14ac:dyDescent="0.25">
      <c r="N410" t="s">
        <v>428</v>
      </c>
      <c r="O410" s="2">
        <v>124</v>
      </c>
      <c r="P410" s="5">
        <v>8.9695675387079551E-2</v>
      </c>
      <c r="R410" t="s">
        <v>428</v>
      </c>
      <c r="S410" s="2">
        <v>28606</v>
      </c>
      <c r="T410" s="2">
        <v>20603</v>
      </c>
    </row>
    <row r="411" spans="14:20" x14ac:dyDescent="0.25">
      <c r="N411" t="s">
        <v>429</v>
      </c>
      <c r="O411" s="2">
        <v>116</v>
      </c>
      <c r="P411" s="5">
        <v>3.2462777642177205E-2</v>
      </c>
      <c r="R411" t="s">
        <v>429</v>
      </c>
      <c r="S411" s="2">
        <v>14074</v>
      </c>
      <c r="T411" s="2">
        <v>12291</v>
      </c>
    </row>
    <row r="412" spans="14:20" x14ac:dyDescent="0.25">
      <c r="N412" t="s">
        <v>430</v>
      </c>
      <c r="O412" s="2">
        <v>453</v>
      </c>
      <c r="P412" s="5">
        <v>5.749823111011805E-2</v>
      </c>
      <c r="R412" t="s">
        <v>430</v>
      </c>
      <c r="S412" s="2">
        <v>59270</v>
      </c>
      <c r="T412" s="2">
        <v>26853</v>
      </c>
    </row>
    <row r="413" spans="14:20" x14ac:dyDescent="0.25">
      <c r="N413" t="s">
        <v>431</v>
      </c>
      <c r="O413" s="2">
        <v>352</v>
      </c>
      <c r="P413" s="5">
        <v>6.92138671875E-2</v>
      </c>
      <c r="R413" t="s">
        <v>431</v>
      </c>
      <c r="S413" s="2">
        <v>75915</v>
      </c>
      <c r="T413" s="2">
        <v>40960</v>
      </c>
    </row>
    <row r="414" spans="14:20" x14ac:dyDescent="0.25">
      <c r="N414" t="s">
        <v>432</v>
      </c>
      <c r="O414" s="2">
        <v>360</v>
      </c>
      <c r="P414" s="5">
        <v>4.2590196619084988E-2</v>
      </c>
      <c r="R414" t="s">
        <v>432</v>
      </c>
      <c r="S414" s="2">
        <v>72976</v>
      </c>
      <c r="T414" s="2">
        <v>47147</v>
      </c>
    </row>
    <row r="415" spans="14:20" x14ac:dyDescent="0.25">
      <c r="N415" t="s">
        <v>433</v>
      </c>
      <c r="O415" s="2">
        <v>254</v>
      </c>
      <c r="P415" s="5">
        <v>4.6522964752760645E-2</v>
      </c>
      <c r="R415" t="s">
        <v>433</v>
      </c>
      <c r="S415" s="2">
        <v>84491</v>
      </c>
      <c r="T415" s="2">
        <v>47181</v>
      </c>
    </row>
    <row r="416" spans="14:20" x14ac:dyDescent="0.25">
      <c r="N416" t="s">
        <v>434</v>
      </c>
      <c r="O416" s="2">
        <v>145</v>
      </c>
      <c r="P416" s="5">
        <v>3.3868935097668557E-2</v>
      </c>
      <c r="R416" t="s">
        <v>434</v>
      </c>
      <c r="S416" s="2">
        <v>41900</v>
      </c>
      <c r="T416" s="2">
        <v>25392</v>
      </c>
    </row>
    <row r="417" spans="14:20" x14ac:dyDescent="0.25">
      <c r="N417" t="s">
        <v>435</v>
      </c>
      <c r="O417" s="2">
        <v>3</v>
      </c>
      <c r="P417" s="5">
        <v>3.8844621513944223E-2</v>
      </c>
      <c r="R417" t="s">
        <v>435</v>
      </c>
      <c r="S417" s="2">
        <v>2092</v>
      </c>
      <c r="T417" s="2">
        <v>1004</v>
      </c>
    </row>
    <row r="418" spans="14:20" x14ac:dyDescent="0.25">
      <c r="N418" t="s">
        <v>436</v>
      </c>
      <c r="O418" s="2">
        <v>1520</v>
      </c>
      <c r="P418" s="5">
        <v>0.13403486994301189</v>
      </c>
      <c r="R418" t="s">
        <v>436</v>
      </c>
      <c r="S418" s="2">
        <v>74779</v>
      </c>
      <c r="T418" s="2">
        <v>35446</v>
      </c>
    </row>
    <row r="419" spans="14:20" x14ac:dyDescent="0.25">
      <c r="N419" t="s">
        <v>437</v>
      </c>
      <c r="O419" s="2">
        <v>100</v>
      </c>
      <c r="P419" s="5">
        <v>6.4571961123685268E-2</v>
      </c>
      <c r="R419" t="s">
        <v>437</v>
      </c>
      <c r="S419" s="2">
        <v>9916</v>
      </c>
      <c r="T419" s="2">
        <v>7511</v>
      </c>
    </row>
    <row r="420" spans="14:20" x14ac:dyDescent="0.25">
      <c r="N420" t="s">
        <v>438</v>
      </c>
      <c r="O420" s="2">
        <v>36</v>
      </c>
      <c r="P420" s="5">
        <v>4.2184724689165183E-2</v>
      </c>
      <c r="R420" t="s">
        <v>438</v>
      </c>
      <c r="S420" s="2">
        <v>4445</v>
      </c>
      <c r="T420" s="2">
        <v>2252</v>
      </c>
    </row>
    <row r="421" spans="14:20" x14ac:dyDescent="0.25">
      <c r="N421" t="s">
        <v>439</v>
      </c>
      <c r="O421" s="2">
        <v>356</v>
      </c>
      <c r="P421" s="5">
        <v>3.628304901303922E-2</v>
      </c>
      <c r="R421" t="s">
        <v>439</v>
      </c>
      <c r="S421" s="2">
        <v>22072</v>
      </c>
      <c r="T421" s="2">
        <v>19403</v>
      </c>
    </row>
    <row r="422" spans="14:20" x14ac:dyDescent="0.25">
      <c r="N422" t="s">
        <v>440</v>
      </c>
      <c r="O422" s="2">
        <v>541</v>
      </c>
      <c r="P422" s="5">
        <v>0.13353643056613354</v>
      </c>
      <c r="R422" t="s">
        <v>440</v>
      </c>
      <c r="S422" s="2">
        <v>30790</v>
      </c>
      <c r="T422" s="2">
        <v>15756</v>
      </c>
    </row>
    <row r="423" spans="14:20" x14ac:dyDescent="0.25">
      <c r="N423" t="s">
        <v>441</v>
      </c>
      <c r="O423" s="2">
        <v>2855</v>
      </c>
      <c r="P423" s="5">
        <v>0.11950345074840907</v>
      </c>
      <c r="R423" t="s">
        <v>441</v>
      </c>
      <c r="S423" s="2">
        <v>251932</v>
      </c>
      <c r="T423" s="2">
        <v>111570</v>
      </c>
    </row>
    <row r="424" spans="14:20" x14ac:dyDescent="0.25">
      <c r="N424" t="s">
        <v>442</v>
      </c>
      <c r="O424" s="2">
        <v>243</v>
      </c>
      <c r="P424" s="5">
        <v>5.9993307519479899E-2</v>
      </c>
      <c r="R424" t="s">
        <v>442</v>
      </c>
      <c r="S424" s="2">
        <v>30992</v>
      </c>
      <c r="T424" s="2">
        <v>20919</v>
      </c>
    </row>
    <row r="425" spans="14:20" x14ac:dyDescent="0.25">
      <c r="N425" t="s">
        <v>443</v>
      </c>
      <c r="O425" s="2">
        <v>3788</v>
      </c>
      <c r="P425" s="5">
        <v>0.19337736613017512</v>
      </c>
      <c r="R425" t="s">
        <v>443</v>
      </c>
      <c r="S425" s="2">
        <v>143707</v>
      </c>
      <c r="T425" s="2">
        <v>79032</v>
      </c>
    </row>
    <row r="426" spans="14:20" x14ac:dyDescent="0.25">
      <c r="N426" t="s">
        <v>444</v>
      </c>
      <c r="O426" s="2">
        <v>16</v>
      </c>
      <c r="P426" s="5">
        <v>2.6642335766423358E-2</v>
      </c>
      <c r="R426" t="s">
        <v>444</v>
      </c>
      <c r="S426" s="2">
        <v>4868</v>
      </c>
      <c r="T426" s="2">
        <v>2740</v>
      </c>
    </row>
    <row r="427" spans="14:20" x14ac:dyDescent="0.25">
      <c r="N427" t="s">
        <v>445</v>
      </c>
      <c r="O427" s="2">
        <v>205</v>
      </c>
      <c r="P427" s="5">
        <v>4.9357113231024471E-2</v>
      </c>
      <c r="R427" t="s">
        <v>445</v>
      </c>
      <c r="S427" s="2">
        <v>21535</v>
      </c>
      <c r="T427" s="2">
        <v>12055</v>
      </c>
    </row>
    <row r="428" spans="14:20" x14ac:dyDescent="0.25">
      <c r="N428" t="s">
        <v>446</v>
      </c>
      <c r="O428" s="2">
        <v>278</v>
      </c>
      <c r="P428" s="5">
        <v>4.5667510366740265E-2</v>
      </c>
      <c r="R428" t="s">
        <v>446</v>
      </c>
      <c r="S428" s="2">
        <v>72066</v>
      </c>
      <c r="T428" s="2">
        <v>37138</v>
      </c>
    </row>
    <row r="429" spans="14:20" x14ac:dyDescent="0.25">
      <c r="N429" t="s">
        <v>447</v>
      </c>
      <c r="O429" s="2">
        <v>184</v>
      </c>
      <c r="P429" s="5">
        <v>3.8409663988740982E-2</v>
      </c>
      <c r="R429" t="s">
        <v>447</v>
      </c>
      <c r="S429" s="2">
        <v>24044</v>
      </c>
      <c r="T429" s="2">
        <v>17053</v>
      </c>
    </row>
    <row r="430" spans="14:20" x14ac:dyDescent="0.25">
      <c r="N430" t="s">
        <v>448</v>
      </c>
      <c r="O430" s="2">
        <v>331</v>
      </c>
      <c r="P430" s="5">
        <v>5.1453021929042608E-2</v>
      </c>
      <c r="R430" t="s">
        <v>448</v>
      </c>
      <c r="S430" s="2">
        <v>117879</v>
      </c>
      <c r="T430" s="2">
        <v>84135</v>
      </c>
    </row>
    <row r="431" spans="14:20" x14ac:dyDescent="0.25">
      <c r="N431" t="s">
        <v>449</v>
      </c>
      <c r="O431" s="2">
        <v>79</v>
      </c>
      <c r="P431" s="5">
        <v>4.0931922624772896E-2</v>
      </c>
      <c r="R431" t="s">
        <v>449</v>
      </c>
      <c r="S431" s="2">
        <v>14346</v>
      </c>
      <c r="T431" s="2">
        <v>9357</v>
      </c>
    </row>
    <row r="432" spans="14:20" x14ac:dyDescent="0.25">
      <c r="N432" t="s">
        <v>450</v>
      </c>
      <c r="O432" s="2">
        <v>16</v>
      </c>
      <c r="P432" s="5">
        <v>5.6545789797172709E-2</v>
      </c>
      <c r="R432" t="s">
        <v>450</v>
      </c>
      <c r="S432" s="2">
        <v>3303</v>
      </c>
      <c r="T432" s="2">
        <v>1627</v>
      </c>
    </row>
    <row r="433" spans="14:20" x14ac:dyDescent="0.25">
      <c r="N433" t="s">
        <v>451</v>
      </c>
      <c r="O433" s="2">
        <v>26</v>
      </c>
      <c r="P433" s="5">
        <v>2.8263294905169208E-2</v>
      </c>
      <c r="R433" t="s">
        <v>451</v>
      </c>
      <c r="S433" s="2">
        <v>7765</v>
      </c>
      <c r="T433" s="2">
        <v>5378</v>
      </c>
    </row>
    <row r="434" spans="14:20" x14ac:dyDescent="0.25">
      <c r="N434" t="s">
        <v>452</v>
      </c>
      <c r="O434" s="2">
        <v>152</v>
      </c>
      <c r="P434" s="5">
        <v>5.0685887003022553E-2</v>
      </c>
      <c r="R434" t="s">
        <v>452</v>
      </c>
      <c r="S434" s="2">
        <v>21592</v>
      </c>
      <c r="T434" s="2">
        <v>8602</v>
      </c>
    </row>
    <row r="435" spans="14:20" x14ac:dyDescent="0.25">
      <c r="N435" t="s">
        <v>453</v>
      </c>
      <c r="O435" s="2">
        <v>183</v>
      </c>
      <c r="P435" s="5">
        <v>2.5133351414881114E-2</v>
      </c>
      <c r="R435" t="s">
        <v>453</v>
      </c>
      <c r="S435" s="2">
        <v>13531</v>
      </c>
      <c r="T435" s="2">
        <v>11061</v>
      </c>
    </row>
    <row r="436" spans="14:20" x14ac:dyDescent="0.25">
      <c r="N436" t="s">
        <v>454</v>
      </c>
      <c r="O436" s="2">
        <v>443</v>
      </c>
      <c r="P436" s="5">
        <v>8.2758256460812613E-2</v>
      </c>
      <c r="R436" t="s">
        <v>454</v>
      </c>
      <c r="S436" s="2">
        <v>87545</v>
      </c>
      <c r="T436" s="2">
        <v>56804</v>
      </c>
    </row>
    <row r="437" spans="14:20" x14ac:dyDescent="0.25">
      <c r="N437" t="s">
        <v>455</v>
      </c>
      <c r="O437" s="2">
        <v>43</v>
      </c>
      <c r="P437" s="5">
        <v>5.3642245877687331E-2</v>
      </c>
      <c r="R437" t="s">
        <v>455</v>
      </c>
      <c r="S437" s="2">
        <v>30509</v>
      </c>
      <c r="T437" s="2">
        <v>19164</v>
      </c>
    </row>
    <row r="438" spans="14:20" x14ac:dyDescent="0.25">
      <c r="N438" t="s">
        <v>456</v>
      </c>
      <c r="O438" s="2">
        <v>44</v>
      </c>
      <c r="P438" s="5">
        <v>9.1647529131581182E-2</v>
      </c>
      <c r="R438" t="s">
        <v>456</v>
      </c>
      <c r="S438" s="2">
        <v>53167</v>
      </c>
      <c r="T438" s="2">
        <v>23514</v>
      </c>
    </row>
    <row r="439" spans="14:20" x14ac:dyDescent="0.25">
      <c r="N439" t="s">
        <v>457</v>
      </c>
      <c r="O439" s="2">
        <v>189</v>
      </c>
      <c r="P439" s="5">
        <v>6.6754418954494174E-2</v>
      </c>
      <c r="R439" t="s">
        <v>457</v>
      </c>
      <c r="S439" s="2">
        <v>22118</v>
      </c>
      <c r="T439" s="2">
        <v>10636</v>
      </c>
    </row>
    <row r="440" spans="14:20" x14ac:dyDescent="0.25">
      <c r="N440" t="s">
        <v>458</v>
      </c>
      <c r="O440" s="2">
        <v>50</v>
      </c>
      <c r="P440" s="5">
        <v>0.14710076045627377</v>
      </c>
      <c r="R440" t="s">
        <v>458</v>
      </c>
      <c r="S440" s="2">
        <v>6518</v>
      </c>
      <c r="T440" s="2">
        <v>4208</v>
      </c>
    </row>
    <row r="441" spans="14:20" x14ac:dyDescent="0.25">
      <c r="N441" t="s">
        <v>459</v>
      </c>
      <c r="O441" s="2">
        <v>292</v>
      </c>
      <c r="P441" s="5">
        <v>4.8250501448629371E-2</v>
      </c>
      <c r="R441" t="s">
        <v>459</v>
      </c>
      <c r="S441" s="2">
        <v>57148</v>
      </c>
      <c r="T441" s="2">
        <v>44870</v>
      </c>
    </row>
    <row r="442" spans="14:20" x14ac:dyDescent="0.25">
      <c r="N442" t="s">
        <v>460</v>
      </c>
      <c r="O442" s="2">
        <v>36</v>
      </c>
      <c r="P442" s="5">
        <v>2.643171806167401E-2</v>
      </c>
      <c r="R442" t="s">
        <v>460</v>
      </c>
      <c r="S442" s="2">
        <v>9102</v>
      </c>
      <c r="T442" s="2">
        <v>5221</v>
      </c>
    </row>
    <row r="443" spans="14:20" x14ac:dyDescent="0.25">
      <c r="N443" t="s">
        <v>461</v>
      </c>
      <c r="O443" s="2">
        <v>5323</v>
      </c>
      <c r="P443" s="5">
        <v>0.1275278112378658</v>
      </c>
      <c r="R443" t="s">
        <v>461</v>
      </c>
      <c r="S443" s="2">
        <v>392291</v>
      </c>
      <c r="T443" s="2">
        <v>211695</v>
      </c>
    </row>
    <row r="444" spans="14:20" x14ac:dyDescent="0.25">
      <c r="N444" t="s">
        <v>462</v>
      </c>
      <c r="O444" s="2">
        <v>1487</v>
      </c>
      <c r="P444" s="5">
        <v>0.1409103025456484</v>
      </c>
      <c r="R444" t="s">
        <v>462</v>
      </c>
      <c r="S444" s="2">
        <v>82125</v>
      </c>
      <c r="T444" s="2">
        <v>30012</v>
      </c>
    </row>
    <row r="445" spans="14:20" x14ac:dyDescent="0.25">
      <c r="N445" t="s">
        <v>463</v>
      </c>
      <c r="O445" s="2">
        <v>3594</v>
      </c>
      <c r="P445" s="5">
        <v>0.102249303463429</v>
      </c>
      <c r="R445" t="s">
        <v>463</v>
      </c>
      <c r="S445" s="2">
        <v>225458</v>
      </c>
      <c r="T445" s="2">
        <v>132441</v>
      </c>
    </row>
    <row r="446" spans="14:20" x14ac:dyDescent="0.25">
      <c r="N446" t="s">
        <v>464</v>
      </c>
      <c r="O446" s="2">
        <v>79</v>
      </c>
      <c r="P446" s="5">
        <v>3.5388576166164858E-2</v>
      </c>
      <c r="R446" t="s">
        <v>464</v>
      </c>
      <c r="S446" s="2">
        <v>31441</v>
      </c>
      <c r="T446" s="2">
        <v>22917</v>
      </c>
    </row>
    <row r="447" spans="14:20" x14ac:dyDescent="0.25">
      <c r="N447" t="s">
        <v>465</v>
      </c>
      <c r="O447" s="2">
        <v>174</v>
      </c>
      <c r="P447" s="5">
        <v>4.2212436541104535E-2</v>
      </c>
      <c r="R447" t="s">
        <v>465</v>
      </c>
      <c r="S447" s="2">
        <v>68693</v>
      </c>
      <c r="T447" s="2">
        <v>35653</v>
      </c>
    </row>
    <row r="448" spans="14:20" x14ac:dyDescent="0.25">
      <c r="N448" t="s">
        <v>466</v>
      </c>
      <c r="O448" s="2">
        <v>3760</v>
      </c>
      <c r="P448" s="5">
        <v>0.10986371823773974</v>
      </c>
      <c r="R448" t="s">
        <v>466</v>
      </c>
      <c r="S448" s="2">
        <v>288296</v>
      </c>
      <c r="T448" s="2">
        <v>88273</v>
      </c>
    </row>
    <row r="449" spans="14:20" x14ac:dyDescent="0.25">
      <c r="N449" t="s">
        <v>467</v>
      </c>
      <c r="O449" s="2">
        <v>12</v>
      </c>
      <c r="P449" s="5">
        <v>7.3381294964028773E-2</v>
      </c>
      <c r="R449" t="s">
        <v>467</v>
      </c>
      <c r="S449" s="2">
        <v>1023</v>
      </c>
      <c r="T449" s="2">
        <v>695</v>
      </c>
    </row>
    <row r="450" spans="14:20" x14ac:dyDescent="0.25">
      <c r="N450" t="s">
        <v>468</v>
      </c>
      <c r="O450" s="2">
        <v>36</v>
      </c>
      <c r="P450" s="5">
        <v>3.4682080924855488E-2</v>
      </c>
      <c r="R450" t="s">
        <v>468</v>
      </c>
      <c r="S450" s="2">
        <v>3481</v>
      </c>
      <c r="T450" s="2">
        <v>2768</v>
      </c>
    </row>
    <row r="451" spans="14:20" x14ac:dyDescent="0.25">
      <c r="N451" t="s">
        <v>469</v>
      </c>
      <c r="O451" s="2">
        <v>149</v>
      </c>
      <c r="P451" s="5">
        <v>5.6414048059149721E-2</v>
      </c>
      <c r="R451" t="s">
        <v>469</v>
      </c>
      <c r="S451" s="2">
        <v>18614</v>
      </c>
      <c r="T451" s="2">
        <v>13525</v>
      </c>
    </row>
    <row r="452" spans="14:20" x14ac:dyDescent="0.25">
      <c r="N452" t="s">
        <v>470</v>
      </c>
      <c r="O452" s="2">
        <v>93</v>
      </c>
      <c r="P452" s="5">
        <v>2.667610953729934E-2</v>
      </c>
      <c r="R452" t="s">
        <v>470</v>
      </c>
      <c r="S452" s="2">
        <v>29996</v>
      </c>
      <c r="T452" s="2">
        <v>16944</v>
      </c>
    </row>
    <row r="453" spans="14:20" x14ac:dyDescent="0.25">
      <c r="N453" t="s">
        <v>471</v>
      </c>
      <c r="O453" s="2">
        <v>60</v>
      </c>
      <c r="P453" s="5">
        <v>3.8363171355498722E-2</v>
      </c>
      <c r="R453" t="s">
        <v>471</v>
      </c>
      <c r="S453" s="2">
        <v>5854</v>
      </c>
      <c r="T453" s="2">
        <v>3519</v>
      </c>
    </row>
    <row r="454" spans="14:20" x14ac:dyDescent="0.25">
      <c r="N454" t="s">
        <v>472</v>
      </c>
      <c r="O454" s="2">
        <v>100</v>
      </c>
      <c r="P454" s="5">
        <v>5.246089278901183E-2</v>
      </c>
      <c r="R454" t="s">
        <v>472</v>
      </c>
      <c r="S454" s="2">
        <v>12421</v>
      </c>
      <c r="T454" s="2">
        <v>5242</v>
      </c>
    </row>
    <row r="455" spans="14:20" x14ac:dyDescent="0.25">
      <c r="N455" t="s">
        <v>473</v>
      </c>
      <c r="O455" s="2">
        <v>240</v>
      </c>
      <c r="P455" s="5">
        <v>5.7191427357173211E-2</v>
      </c>
      <c r="R455" t="s">
        <v>473</v>
      </c>
      <c r="S455" s="2">
        <v>26906</v>
      </c>
      <c r="T455" s="2">
        <v>16471</v>
      </c>
    </row>
    <row r="456" spans="14:20" x14ac:dyDescent="0.25">
      <c r="N456" t="s">
        <v>474</v>
      </c>
      <c r="O456" s="2">
        <v>1763</v>
      </c>
      <c r="P456" s="5">
        <v>6.8510722739578464E-2</v>
      </c>
      <c r="R456" t="s">
        <v>474</v>
      </c>
      <c r="S456" s="2">
        <v>328225</v>
      </c>
      <c r="T456" s="2">
        <v>141102</v>
      </c>
    </row>
    <row r="457" spans="14:20" x14ac:dyDescent="0.25">
      <c r="N457" t="s">
        <v>475</v>
      </c>
      <c r="O457" s="2">
        <v>46</v>
      </c>
      <c r="P457" s="5">
        <v>8.0344585091420534E-2</v>
      </c>
      <c r="R457" t="s">
        <v>475</v>
      </c>
      <c r="S457" s="2">
        <v>17569</v>
      </c>
      <c r="T457" s="2">
        <v>11376</v>
      </c>
    </row>
    <row r="458" spans="14:20" x14ac:dyDescent="0.25">
      <c r="N458" t="s">
        <v>476</v>
      </c>
      <c r="O458" s="2">
        <v>80</v>
      </c>
      <c r="P458" s="5">
        <v>8.5999576735863933E-2</v>
      </c>
      <c r="R458" t="s">
        <v>476</v>
      </c>
      <c r="S458" s="2">
        <v>66334</v>
      </c>
      <c r="T458" s="2">
        <v>51977</v>
      </c>
    </row>
    <row r="459" spans="14:20" x14ac:dyDescent="0.25">
      <c r="N459" t="s">
        <v>477</v>
      </c>
      <c r="O459" s="2">
        <v>156</v>
      </c>
      <c r="P459" s="5">
        <v>6.565132858068698E-2</v>
      </c>
      <c r="R459" t="s">
        <v>477</v>
      </c>
      <c r="S459" s="2">
        <v>19570</v>
      </c>
      <c r="T459" s="2">
        <v>15430</v>
      </c>
    </row>
    <row r="460" spans="14:20" x14ac:dyDescent="0.25">
      <c r="N460" t="s">
        <v>478</v>
      </c>
      <c r="O460" s="2">
        <v>87</v>
      </c>
      <c r="P460" s="5">
        <v>7.9788838612368018E-2</v>
      </c>
      <c r="R460" t="s">
        <v>478</v>
      </c>
      <c r="S460" s="2">
        <v>9852</v>
      </c>
      <c r="T460" s="2">
        <v>6630</v>
      </c>
    </row>
    <row r="461" spans="14:20" x14ac:dyDescent="0.25">
      <c r="N461" t="s">
        <v>479</v>
      </c>
      <c r="O461" s="2">
        <v>87</v>
      </c>
      <c r="P461" s="5">
        <v>6.3287379650025982E-2</v>
      </c>
      <c r="R461" t="s">
        <v>479</v>
      </c>
      <c r="S461" s="2">
        <v>92161</v>
      </c>
      <c r="T461" s="2">
        <v>40403</v>
      </c>
    </row>
    <row r="462" spans="14:20" x14ac:dyDescent="0.25">
      <c r="N462" t="s">
        <v>480</v>
      </c>
      <c r="O462" s="2">
        <v>28</v>
      </c>
      <c r="P462" s="5">
        <v>2.6513477684489615E-2</v>
      </c>
      <c r="R462" t="s">
        <v>480</v>
      </c>
      <c r="S462" s="2">
        <v>3970</v>
      </c>
      <c r="T462" s="2">
        <v>2263</v>
      </c>
    </row>
    <row r="463" spans="14:20" x14ac:dyDescent="0.25">
      <c r="N463" t="s">
        <v>481</v>
      </c>
      <c r="O463" s="2">
        <v>1165</v>
      </c>
      <c r="P463" s="5">
        <v>9.62002004170842E-2</v>
      </c>
      <c r="R463" t="s">
        <v>481</v>
      </c>
      <c r="S463" s="2">
        <v>110636</v>
      </c>
      <c r="T463" s="2">
        <v>36923</v>
      </c>
    </row>
    <row r="464" spans="14:20" x14ac:dyDescent="0.25">
      <c r="N464" t="s">
        <v>482</v>
      </c>
      <c r="O464" s="2">
        <v>147</v>
      </c>
      <c r="P464" s="5">
        <v>4.423284394202355E-2</v>
      </c>
      <c r="R464" t="s">
        <v>482</v>
      </c>
      <c r="S464" s="2">
        <v>52965</v>
      </c>
      <c r="T464" s="2">
        <v>21319</v>
      </c>
    </row>
    <row r="465" spans="14:20" x14ac:dyDescent="0.25">
      <c r="N465" t="s">
        <v>483</v>
      </c>
      <c r="O465" s="2">
        <v>84</v>
      </c>
      <c r="P465" s="5">
        <v>3.2720331236220895E-2</v>
      </c>
      <c r="R465" t="s">
        <v>483</v>
      </c>
      <c r="S465" s="2">
        <v>43511</v>
      </c>
      <c r="T465" s="2">
        <v>37194</v>
      </c>
    </row>
    <row r="466" spans="14:20" x14ac:dyDescent="0.25">
      <c r="N466" t="s">
        <v>484</v>
      </c>
      <c r="O466" s="2">
        <v>6567</v>
      </c>
      <c r="P466" s="5">
        <v>0.18251740629215321</v>
      </c>
      <c r="R466" t="s">
        <v>484</v>
      </c>
      <c r="S466" s="2">
        <v>337983</v>
      </c>
      <c r="T466" s="2">
        <v>146786</v>
      </c>
    </row>
    <row r="467" spans="14:20" x14ac:dyDescent="0.25">
      <c r="N467" t="s">
        <v>485</v>
      </c>
      <c r="O467" s="2">
        <v>3479</v>
      </c>
      <c r="P467" s="5">
        <v>0.11161284638089784</v>
      </c>
      <c r="R467" t="s">
        <v>485</v>
      </c>
      <c r="S467" s="2">
        <v>164695</v>
      </c>
      <c r="T467" s="2">
        <v>90796</v>
      </c>
    </row>
    <row r="468" spans="14:20" x14ac:dyDescent="0.25">
      <c r="N468" t="s">
        <v>486</v>
      </c>
      <c r="O468" s="2">
        <v>63</v>
      </c>
      <c r="P468" s="5">
        <v>3.7422360248447202E-2</v>
      </c>
      <c r="R468" t="s">
        <v>486</v>
      </c>
      <c r="S468" s="2">
        <v>16374</v>
      </c>
      <c r="T468" s="2">
        <v>12880</v>
      </c>
    </row>
    <row r="469" spans="14:20" x14ac:dyDescent="0.25">
      <c r="N469" t="s">
        <v>487</v>
      </c>
      <c r="O469" s="2">
        <v>11817</v>
      </c>
      <c r="P469" s="5">
        <v>0.17990334298236291</v>
      </c>
      <c r="R469" t="s">
        <v>487</v>
      </c>
      <c r="S469" s="2">
        <v>459458</v>
      </c>
      <c r="T469" s="2">
        <v>319894</v>
      </c>
    </row>
    <row r="470" spans="14:20" x14ac:dyDescent="0.25">
      <c r="N470" t="s">
        <v>488</v>
      </c>
      <c r="O470" s="2">
        <v>133</v>
      </c>
      <c r="P470" s="5">
        <v>5.3412089983662182E-2</v>
      </c>
      <c r="R470" t="s">
        <v>488</v>
      </c>
      <c r="S470" s="2">
        <v>16448</v>
      </c>
      <c r="T470" s="2">
        <v>7957</v>
      </c>
    </row>
    <row r="471" spans="14:20" x14ac:dyDescent="0.25">
      <c r="N471" t="s">
        <v>489</v>
      </c>
      <c r="O471" s="2">
        <v>59</v>
      </c>
      <c r="P471" s="5">
        <v>4.6962355572120758E-2</v>
      </c>
      <c r="R471" t="s">
        <v>489</v>
      </c>
      <c r="S471" s="2">
        <v>7337</v>
      </c>
      <c r="T471" s="2">
        <v>5366</v>
      </c>
    </row>
    <row r="472" spans="14:20" x14ac:dyDescent="0.25">
      <c r="N472" t="s">
        <v>490</v>
      </c>
      <c r="O472" s="2">
        <v>160</v>
      </c>
      <c r="P472" s="5">
        <v>2.7845965019944768E-2</v>
      </c>
      <c r="R472" t="s">
        <v>490</v>
      </c>
      <c r="S472" s="2">
        <v>18681</v>
      </c>
      <c r="T472" s="2">
        <v>13036</v>
      </c>
    </row>
    <row r="473" spans="14:20" x14ac:dyDescent="0.25">
      <c r="N473" t="s">
        <v>491</v>
      </c>
      <c r="O473" s="2">
        <v>465</v>
      </c>
      <c r="P473" s="5">
        <v>4.4990112063282794E-2</v>
      </c>
      <c r="R473" t="s">
        <v>491</v>
      </c>
      <c r="S473" s="2">
        <v>37918</v>
      </c>
      <c r="T473" s="2">
        <v>24272</v>
      </c>
    </row>
    <row r="474" spans="14:20" x14ac:dyDescent="0.25">
      <c r="N474" t="s">
        <v>492</v>
      </c>
      <c r="O474" s="2">
        <v>253</v>
      </c>
      <c r="P474" s="5">
        <v>2.2673249222892669E-2</v>
      </c>
      <c r="R474" t="s">
        <v>492</v>
      </c>
      <c r="S474" s="2">
        <v>31283</v>
      </c>
      <c r="T474" s="2">
        <v>21876</v>
      </c>
    </row>
    <row r="475" spans="14:20" x14ac:dyDescent="0.25">
      <c r="N475" t="s">
        <v>493</v>
      </c>
      <c r="O475" s="2">
        <v>4182</v>
      </c>
      <c r="P475" s="5">
        <v>0.1306840770746274</v>
      </c>
      <c r="R475" t="s">
        <v>493</v>
      </c>
      <c r="S475" s="2">
        <v>339247</v>
      </c>
      <c r="T475" s="2">
        <v>113189</v>
      </c>
    </row>
    <row r="476" spans="14:20" x14ac:dyDescent="0.25">
      <c r="N476" t="s">
        <v>494</v>
      </c>
      <c r="O476" s="2">
        <v>27</v>
      </c>
      <c r="P476" s="5">
        <v>6.0222672064777327E-2</v>
      </c>
      <c r="R476" t="s">
        <v>494</v>
      </c>
      <c r="S476" s="2">
        <v>8981</v>
      </c>
      <c r="T476" s="2">
        <v>3952</v>
      </c>
    </row>
    <row r="477" spans="14:20" x14ac:dyDescent="0.25">
      <c r="N477" t="s">
        <v>495</v>
      </c>
      <c r="O477" s="2">
        <v>71</v>
      </c>
      <c r="P477" s="5">
        <v>2.9983172709193821E-2</v>
      </c>
      <c r="R477" t="s">
        <v>495</v>
      </c>
      <c r="S477" s="2">
        <v>21302</v>
      </c>
      <c r="T477" s="2">
        <v>13074</v>
      </c>
    </row>
    <row r="478" spans="14:20" x14ac:dyDescent="0.25">
      <c r="N478" t="s">
        <v>496</v>
      </c>
      <c r="O478" s="2">
        <v>409</v>
      </c>
      <c r="P478" s="5">
        <v>6.2649866002162768E-2</v>
      </c>
      <c r="R478" t="s">
        <v>496</v>
      </c>
      <c r="S478" s="2">
        <v>69216</v>
      </c>
      <c r="T478" s="2">
        <v>42538</v>
      </c>
    </row>
    <row r="479" spans="14:20" x14ac:dyDescent="0.25">
      <c r="N479" t="s">
        <v>497</v>
      </c>
      <c r="O479" s="2">
        <v>81</v>
      </c>
      <c r="P479" s="5">
        <v>7.0036420907569646E-2</v>
      </c>
      <c r="R479" t="s">
        <v>497</v>
      </c>
      <c r="S479" s="2">
        <v>71167</v>
      </c>
      <c r="T479" s="2">
        <v>40636</v>
      </c>
    </row>
    <row r="480" spans="14:20" x14ac:dyDescent="0.25">
      <c r="N480" t="s">
        <v>498</v>
      </c>
      <c r="O480" s="2">
        <v>30</v>
      </c>
      <c r="P480" s="5">
        <v>5.1446945337620578E-2</v>
      </c>
      <c r="R480" t="s">
        <v>498</v>
      </c>
      <c r="S480" s="2">
        <v>4580</v>
      </c>
      <c r="T480" s="2">
        <v>2488</v>
      </c>
    </row>
    <row r="481" spans="14:20" x14ac:dyDescent="0.25">
      <c r="N481" t="s">
        <v>499</v>
      </c>
      <c r="O481" s="2">
        <v>55</v>
      </c>
      <c r="P481" s="5">
        <v>7.8731002408437833E-2</v>
      </c>
      <c r="R481" t="s">
        <v>499</v>
      </c>
      <c r="S481" s="2">
        <v>25003</v>
      </c>
      <c r="T481" s="2">
        <v>12041</v>
      </c>
    </row>
    <row r="482" spans="14:20" x14ac:dyDescent="0.25">
      <c r="N482" t="s">
        <v>500</v>
      </c>
      <c r="O482" s="2">
        <v>165</v>
      </c>
      <c r="P482" s="5">
        <v>6.6901170263140089E-2</v>
      </c>
      <c r="R482" t="s">
        <v>500</v>
      </c>
      <c r="S482" s="2">
        <v>69409</v>
      </c>
      <c r="T482" s="2">
        <v>29566</v>
      </c>
    </row>
    <row r="483" spans="14:20" x14ac:dyDescent="0.25">
      <c r="N483" t="s">
        <v>501</v>
      </c>
      <c r="O483" s="2">
        <v>135</v>
      </c>
      <c r="P483" s="5">
        <v>5.9700918771383539E-2</v>
      </c>
      <c r="R483" t="s">
        <v>501</v>
      </c>
      <c r="S483" s="2">
        <v>85888</v>
      </c>
      <c r="T483" s="2">
        <v>52026</v>
      </c>
    </row>
    <row r="484" spans="14:20" x14ac:dyDescent="0.25">
      <c r="N484" t="s">
        <v>502</v>
      </c>
      <c r="O484" s="2">
        <v>79</v>
      </c>
      <c r="P484" s="5">
        <v>6.940291460766107E-2</v>
      </c>
      <c r="R484" t="s">
        <v>502</v>
      </c>
      <c r="S484" s="2">
        <v>60250</v>
      </c>
      <c r="T484" s="2">
        <v>31771</v>
      </c>
    </row>
    <row r="485" spans="14:20" x14ac:dyDescent="0.25">
      <c r="N485" t="s">
        <v>503</v>
      </c>
      <c r="O485" s="2">
        <v>153</v>
      </c>
      <c r="P485" s="5">
        <v>3.7032355915065721E-2</v>
      </c>
      <c r="R485" t="s">
        <v>503</v>
      </c>
      <c r="S485" s="2">
        <v>11412</v>
      </c>
      <c r="T485" s="2">
        <v>7912</v>
      </c>
    </row>
    <row r="486" spans="14:20" x14ac:dyDescent="0.25">
      <c r="N486" t="s">
        <v>504</v>
      </c>
      <c r="O486" s="2">
        <v>9</v>
      </c>
      <c r="P486" s="5">
        <v>4.0015029118917904E-2</v>
      </c>
      <c r="R486" t="s">
        <v>504</v>
      </c>
      <c r="S486" s="2">
        <v>8581</v>
      </c>
      <c r="T486" s="2">
        <v>5323</v>
      </c>
    </row>
    <row r="487" spans="14:20" x14ac:dyDescent="0.25">
      <c r="N487" t="s">
        <v>505</v>
      </c>
      <c r="O487" s="2">
        <v>1550</v>
      </c>
      <c r="P487" s="5">
        <v>0.11148083767900008</v>
      </c>
      <c r="R487" t="s">
        <v>505</v>
      </c>
      <c r="S487" s="2">
        <v>87881</v>
      </c>
      <c r="T487" s="2">
        <v>60405</v>
      </c>
    </row>
    <row r="488" spans="14:20" x14ac:dyDescent="0.25">
      <c r="N488" t="s">
        <v>506</v>
      </c>
      <c r="O488" s="2">
        <v>100</v>
      </c>
      <c r="P488" s="5">
        <v>5.7612695492180316E-2</v>
      </c>
      <c r="R488" t="s">
        <v>506</v>
      </c>
      <c r="S488" s="2">
        <v>15417</v>
      </c>
      <c r="T488" s="2">
        <v>8696</v>
      </c>
    </row>
    <row r="489" spans="14:20" x14ac:dyDescent="0.25">
      <c r="N489" t="s">
        <v>507</v>
      </c>
      <c r="O489" s="2">
        <v>3674</v>
      </c>
      <c r="P489" s="5">
        <v>0.12791322092149071</v>
      </c>
      <c r="R489" t="s">
        <v>507</v>
      </c>
      <c r="S489" s="2">
        <v>185847</v>
      </c>
      <c r="T489" s="2">
        <v>121043</v>
      </c>
    </row>
    <row r="490" spans="14:20" x14ac:dyDescent="0.25">
      <c r="N490" t="s">
        <v>508</v>
      </c>
      <c r="O490" s="2">
        <v>28</v>
      </c>
      <c r="P490" s="5">
        <v>5.2384150436534584E-2</v>
      </c>
      <c r="R490" t="s">
        <v>508</v>
      </c>
      <c r="S490" s="2">
        <v>10745</v>
      </c>
      <c r="T490" s="2">
        <v>5956</v>
      </c>
    </row>
    <row r="491" spans="14:20" x14ac:dyDescent="0.25">
      <c r="N491" t="s">
        <v>509</v>
      </c>
      <c r="O491" s="2">
        <v>33</v>
      </c>
      <c r="P491" s="5">
        <v>5.8840922531046717E-2</v>
      </c>
      <c r="R491" t="s">
        <v>509</v>
      </c>
      <c r="S491" s="2">
        <v>6513</v>
      </c>
      <c r="T491" s="2">
        <v>3382</v>
      </c>
    </row>
    <row r="492" spans="14:20" x14ac:dyDescent="0.25">
      <c r="N492" t="s">
        <v>510</v>
      </c>
      <c r="O492" s="2">
        <v>7584</v>
      </c>
      <c r="P492" s="5">
        <v>0.11012567948590032</v>
      </c>
      <c r="R492" t="s">
        <v>510</v>
      </c>
      <c r="S492" s="2">
        <v>440564</v>
      </c>
      <c r="T492" s="2">
        <v>270609</v>
      </c>
    </row>
    <row r="493" spans="14:20" x14ac:dyDescent="0.25">
      <c r="N493" t="s">
        <v>511</v>
      </c>
      <c r="O493" s="2">
        <v>6734</v>
      </c>
      <c r="P493" s="5">
        <v>0.11965919132573857</v>
      </c>
      <c r="R493" t="s">
        <v>511</v>
      </c>
      <c r="S493" s="2">
        <v>322006</v>
      </c>
      <c r="T493" s="2">
        <v>167484</v>
      </c>
    </row>
    <row r="494" spans="14:20" x14ac:dyDescent="0.25">
      <c r="N494" t="s">
        <v>512</v>
      </c>
      <c r="O494" s="2">
        <v>93</v>
      </c>
      <c r="P494" s="5">
        <v>3.575929426591052E-2</v>
      </c>
      <c r="R494" t="s">
        <v>512</v>
      </c>
      <c r="S494" s="2">
        <v>10767</v>
      </c>
      <c r="T494" s="2">
        <v>6348</v>
      </c>
    </row>
    <row r="495" spans="14:20" x14ac:dyDescent="0.25">
      <c r="N495" t="s">
        <v>513</v>
      </c>
      <c r="O495" s="2">
        <v>269</v>
      </c>
      <c r="P495" s="5">
        <v>4.753167822945932E-2</v>
      </c>
      <c r="R495" t="s">
        <v>513</v>
      </c>
      <c r="S495" s="2">
        <v>36770</v>
      </c>
      <c r="T495" s="2">
        <v>17441</v>
      </c>
    </row>
    <row r="496" spans="14:20" x14ac:dyDescent="0.25">
      <c r="N496" t="s">
        <v>514</v>
      </c>
      <c r="O496" s="2">
        <v>207</v>
      </c>
      <c r="P496" s="5">
        <v>0.11080608934364862</v>
      </c>
      <c r="R496" t="s">
        <v>514</v>
      </c>
      <c r="S496" s="2">
        <v>38055</v>
      </c>
      <c r="T496" s="2">
        <v>20035</v>
      </c>
    </row>
    <row r="497" spans="14:20" x14ac:dyDescent="0.25">
      <c r="N497" t="s">
        <v>515</v>
      </c>
      <c r="O497" s="2">
        <v>54</v>
      </c>
      <c r="P497" s="5">
        <v>3.2841411825491655E-2</v>
      </c>
      <c r="R497" t="s">
        <v>515</v>
      </c>
      <c r="S497" s="2">
        <v>51958</v>
      </c>
      <c r="T497" s="2">
        <v>30967</v>
      </c>
    </row>
    <row r="498" spans="14:20" x14ac:dyDescent="0.25">
      <c r="N498" t="s">
        <v>516</v>
      </c>
      <c r="O498" s="2">
        <v>124</v>
      </c>
      <c r="P498" s="5">
        <v>8.4368454381606506E-2</v>
      </c>
      <c r="R498" t="s">
        <v>516</v>
      </c>
      <c r="S498" s="2">
        <v>36746</v>
      </c>
      <c r="T498" s="2">
        <v>20529</v>
      </c>
    </row>
    <row r="499" spans="14:20" x14ac:dyDescent="0.25">
      <c r="N499" t="s">
        <v>517</v>
      </c>
      <c r="O499" s="2">
        <v>40</v>
      </c>
      <c r="P499" s="5">
        <v>1.7007706617060855E-2</v>
      </c>
      <c r="R499" t="s">
        <v>517</v>
      </c>
      <c r="S499" s="2">
        <v>12875</v>
      </c>
      <c r="T499" s="2">
        <v>7526</v>
      </c>
    </row>
    <row r="500" spans="14:20" x14ac:dyDescent="0.25">
      <c r="N500" t="s">
        <v>518</v>
      </c>
      <c r="O500" s="2">
        <v>175</v>
      </c>
      <c r="P500" s="5">
        <v>5.0384052670080469E-2</v>
      </c>
      <c r="R500" t="s">
        <v>518</v>
      </c>
      <c r="S500" s="2">
        <v>29909</v>
      </c>
      <c r="T500" s="2">
        <v>10936</v>
      </c>
    </row>
    <row r="501" spans="14:20" x14ac:dyDescent="0.25">
      <c r="N501" t="s">
        <v>519</v>
      </c>
      <c r="O501" s="2">
        <v>480</v>
      </c>
      <c r="P501" s="5">
        <v>0.15261941740217433</v>
      </c>
      <c r="R501" t="s">
        <v>519</v>
      </c>
      <c r="S501" s="2">
        <v>41256</v>
      </c>
      <c r="T501" s="2">
        <v>26399</v>
      </c>
    </row>
    <row r="502" spans="14:20" x14ac:dyDescent="0.25">
      <c r="N502" t="s">
        <v>520</v>
      </c>
      <c r="O502" s="2">
        <v>68</v>
      </c>
      <c r="P502" s="5">
        <v>4.1321171918186843E-2</v>
      </c>
      <c r="R502" t="s">
        <v>520</v>
      </c>
      <c r="S502" s="2">
        <v>9610</v>
      </c>
      <c r="T502" s="2">
        <v>7236</v>
      </c>
    </row>
    <row r="503" spans="14:20" x14ac:dyDescent="0.25">
      <c r="N503" t="s">
        <v>521</v>
      </c>
      <c r="O503" s="2">
        <v>5</v>
      </c>
      <c r="P503" s="5">
        <v>3.0775716694772345E-2</v>
      </c>
      <c r="R503" t="s">
        <v>521</v>
      </c>
      <c r="S503" s="2">
        <v>3755</v>
      </c>
      <c r="T503" s="2">
        <v>2372</v>
      </c>
    </row>
    <row r="504" spans="14:20" x14ac:dyDescent="0.25">
      <c r="N504" t="s">
        <v>522</v>
      </c>
      <c r="O504" s="2">
        <v>243</v>
      </c>
      <c r="P504" s="5">
        <v>4.4450248106555235E-2</v>
      </c>
      <c r="R504" t="s">
        <v>522</v>
      </c>
      <c r="S504" s="2">
        <v>38598</v>
      </c>
      <c r="T504" s="2">
        <v>19145</v>
      </c>
    </row>
    <row r="505" spans="14:20" x14ac:dyDescent="0.25">
      <c r="N505" t="s">
        <v>523</v>
      </c>
      <c r="O505" s="2">
        <v>93</v>
      </c>
      <c r="P505" s="5">
        <v>5.6264501160092809E-2</v>
      </c>
      <c r="R505" t="s">
        <v>523</v>
      </c>
      <c r="S505" s="2">
        <v>10726</v>
      </c>
      <c r="T505" s="2">
        <v>6896</v>
      </c>
    </row>
    <row r="506" spans="14:20" x14ac:dyDescent="0.25">
      <c r="N506" t="s">
        <v>524</v>
      </c>
      <c r="O506" s="2">
        <v>162</v>
      </c>
      <c r="P506" s="5">
        <v>6.1151079136690649E-2</v>
      </c>
      <c r="R506" t="s">
        <v>524</v>
      </c>
      <c r="S506" s="2">
        <v>37289</v>
      </c>
      <c r="T506" s="2">
        <v>16958</v>
      </c>
    </row>
    <row r="507" spans="14:20" x14ac:dyDescent="0.25">
      <c r="N507" t="s">
        <v>525</v>
      </c>
      <c r="O507" s="2">
        <v>224</v>
      </c>
      <c r="P507" s="5">
        <v>7.1520784921249678E-2</v>
      </c>
      <c r="R507" t="s">
        <v>525</v>
      </c>
      <c r="S507" s="2">
        <v>20670</v>
      </c>
      <c r="T507" s="2">
        <v>15492</v>
      </c>
    </row>
    <row r="508" spans="14:20" x14ac:dyDescent="0.25">
      <c r="N508" t="s">
        <v>526</v>
      </c>
      <c r="O508" s="2">
        <v>217</v>
      </c>
      <c r="P508" s="5">
        <v>3.1035810550635347E-2</v>
      </c>
      <c r="R508" t="s">
        <v>526</v>
      </c>
      <c r="S508" s="2">
        <v>30297</v>
      </c>
      <c r="T508" s="2">
        <v>12985</v>
      </c>
    </row>
    <row r="509" spans="14:20" x14ac:dyDescent="0.25">
      <c r="N509" t="s">
        <v>527</v>
      </c>
      <c r="O509" s="2">
        <v>112</v>
      </c>
      <c r="P509" s="5">
        <v>8.8020434227330774E-2</v>
      </c>
      <c r="R509" t="s">
        <v>527</v>
      </c>
      <c r="S509" s="2">
        <v>34183</v>
      </c>
      <c r="T509" s="2">
        <v>19575</v>
      </c>
    </row>
    <row r="510" spans="14:20" x14ac:dyDescent="0.25">
      <c r="N510" t="s">
        <v>528</v>
      </c>
      <c r="O510" s="2">
        <v>161</v>
      </c>
      <c r="P510" s="5">
        <v>8.9887107485058348E-2</v>
      </c>
      <c r="R510" t="s">
        <v>528</v>
      </c>
      <c r="S510" s="2">
        <v>44261</v>
      </c>
      <c r="T510" s="2">
        <v>21082</v>
      </c>
    </row>
    <row r="511" spans="14:20" x14ac:dyDescent="0.25">
      <c r="N511" t="s">
        <v>529</v>
      </c>
      <c r="O511" s="2">
        <v>613</v>
      </c>
      <c r="P511" s="5">
        <v>7.1208013255008279E-2</v>
      </c>
      <c r="R511" t="s">
        <v>529</v>
      </c>
      <c r="S511" s="2">
        <v>57188</v>
      </c>
      <c r="T511" s="2">
        <v>26556</v>
      </c>
    </row>
    <row r="512" spans="14:20" x14ac:dyDescent="0.25">
      <c r="N512" t="s">
        <v>530</v>
      </c>
      <c r="O512" s="2">
        <v>25</v>
      </c>
      <c r="P512" s="5">
        <v>3.3381343726171311E-2</v>
      </c>
      <c r="R512" t="s">
        <v>530</v>
      </c>
      <c r="S512" s="2">
        <v>18096</v>
      </c>
      <c r="T512" s="2">
        <v>11803</v>
      </c>
    </row>
    <row r="513" spans="14:20" x14ac:dyDescent="0.25">
      <c r="N513" t="s">
        <v>531</v>
      </c>
      <c r="O513" s="2">
        <v>158</v>
      </c>
      <c r="P513" s="5">
        <v>3.8057052714604966E-2</v>
      </c>
      <c r="R513" t="s">
        <v>531</v>
      </c>
      <c r="S513" s="2">
        <v>24711</v>
      </c>
      <c r="T513" s="2">
        <v>15214</v>
      </c>
    </row>
    <row r="514" spans="14:20" x14ac:dyDescent="0.25">
      <c r="N514" t="s">
        <v>532</v>
      </c>
      <c r="O514" s="2">
        <v>28</v>
      </c>
      <c r="P514" s="5">
        <v>3.5743631881676251E-2</v>
      </c>
      <c r="R514" t="s">
        <v>532</v>
      </c>
      <c r="S514" s="2">
        <v>6773</v>
      </c>
      <c r="T514" s="2">
        <v>4868</v>
      </c>
    </row>
    <row r="515" spans="14:20" x14ac:dyDescent="0.25">
      <c r="N515" t="s">
        <v>533</v>
      </c>
      <c r="O515" s="2">
        <v>57</v>
      </c>
      <c r="P515" s="5">
        <v>8.810810810810811E-2</v>
      </c>
      <c r="R515" t="s">
        <v>533</v>
      </c>
      <c r="S515" s="2">
        <v>16541</v>
      </c>
      <c r="T515" s="2">
        <v>9250</v>
      </c>
    </row>
    <row r="516" spans="14:20" x14ac:dyDescent="0.25">
      <c r="N516" t="s">
        <v>534</v>
      </c>
      <c r="O516" s="2">
        <v>2936</v>
      </c>
      <c r="P516" s="5">
        <v>0.15683722380265772</v>
      </c>
      <c r="R516" t="s">
        <v>534</v>
      </c>
      <c r="S516" s="2">
        <v>237159</v>
      </c>
      <c r="T516" s="2">
        <v>128305</v>
      </c>
    </row>
    <row r="517" spans="14:20" x14ac:dyDescent="0.25">
      <c r="N517" t="s">
        <v>535</v>
      </c>
      <c r="O517" s="2">
        <v>64</v>
      </c>
      <c r="P517" s="5">
        <v>7.1253644314868803E-2</v>
      </c>
      <c r="R517" t="s">
        <v>535</v>
      </c>
      <c r="S517" s="2">
        <v>14887</v>
      </c>
      <c r="T517" s="2">
        <v>8575</v>
      </c>
    </row>
    <row r="518" spans="14:20" x14ac:dyDescent="0.25">
      <c r="N518" t="s">
        <v>536</v>
      </c>
      <c r="O518" s="2">
        <v>32</v>
      </c>
      <c r="P518" s="5">
        <v>9.1909678883467599E-2</v>
      </c>
      <c r="R518" t="s">
        <v>536</v>
      </c>
      <c r="S518" s="2">
        <v>11666</v>
      </c>
      <c r="T518" s="2">
        <v>8813</v>
      </c>
    </row>
    <row r="519" spans="14:20" x14ac:dyDescent="0.25">
      <c r="N519" t="s">
        <v>537</v>
      </c>
      <c r="O519" s="2">
        <v>57</v>
      </c>
      <c r="P519" s="5">
        <v>8.6200079082641365E-2</v>
      </c>
      <c r="R519" t="s">
        <v>537</v>
      </c>
      <c r="S519" s="2">
        <v>14544</v>
      </c>
      <c r="T519" s="2">
        <v>7587</v>
      </c>
    </row>
    <row r="520" spans="14:20" x14ac:dyDescent="0.25">
      <c r="N520" t="s">
        <v>538</v>
      </c>
      <c r="O520" s="2">
        <v>186</v>
      </c>
      <c r="P520" s="5">
        <v>6.3969287840227748E-2</v>
      </c>
      <c r="R520" t="s">
        <v>538</v>
      </c>
      <c r="S520" s="2">
        <v>58879</v>
      </c>
      <c r="T520" s="2">
        <v>23183</v>
      </c>
    </row>
    <row r="521" spans="14:20" x14ac:dyDescent="0.25">
      <c r="N521" t="s">
        <v>539</v>
      </c>
      <c r="O521" s="2">
        <v>32</v>
      </c>
      <c r="P521" s="5">
        <v>6.5235008103727718E-2</v>
      </c>
      <c r="R521" t="s">
        <v>539</v>
      </c>
      <c r="S521" s="2">
        <v>12952</v>
      </c>
      <c r="T521" s="2">
        <v>9872</v>
      </c>
    </row>
    <row r="522" spans="14:20" x14ac:dyDescent="0.25">
      <c r="N522" t="s">
        <v>540</v>
      </c>
      <c r="O522" s="2">
        <v>67</v>
      </c>
      <c r="P522" s="5">
        <v>4.8317175061086154E-2</v>
      </c>
      <c r="R522" t="s">
        <v>540</v>
      </c>
      <c r="S522" s="2">
        <v>58263</v>
      </c>
      <c r="T522" s="2">
        <v>25374</v>
      </c>
    </row>
    <row r="523" spans="14:20" x14ac:dyDescent="0.25">
      <c r="N523" t="s">
        <v>541</v>
      </c>
      <c r="O523" s="2">
        <v>443</v>
      </c>
      <c r="P523" s="5">
        <v>5.156875834445928E-2</v>
      </c>
      <c r="R523" t="s">
        <v>541</v>
      </c>
      <c r="S523" s="2">
        <v>79853</v>
      </c>
      <c r="T523" s="2">
        <v>53928</v>
      </c>
    </row>
    <row r="524" spans="14:20" x14ac:dyDescent="0.25">
      <c r="N524" t="s">
        <v>542</v>
      </c>
      <c r="O524" s="2">
        <v>51</v>
      </c>
      <c r="P524" s="5">
        <v>3.9248735853599809E-2</v>
      </c>
      <c r="R524" t="s">
        <v>542</v>
      </c>
      <c r="S524" s="2">
        <v>7562</v>
      </c>
      <c r="T524" s="2">
        <v>4153</v>
      </c>
    </row>
    <row r="525" spans="14:20" x14ac:dyDescent="0.25">
      <c r="N525" t="s">
        <v>543</v>
      </c>
      <c r="O525" s="2">
        <v>785</v>
      </c>
      <c r="P525" s="5">
        <v>0.10044059442909417</v>
      </c>
      <c r="R525" t="s">
        <v>543</v>
      </c>
      <c r="S525" s="2">
        <v>85442</v>
      </c>
      <c r="T525" s="2">
        <v>26782</v>
      </c>
    </row>
    <row r="526" spans="14:20" x14ac:dyDescent="0.25">
      <c r="N526" t="s">
        <v>544</v>
      </c>
      <c r="O526" s="2">
        <v>495</v>
      </c>
      <c r="P526" s="5">
        <v>5.5941626129256426E-2</v>
      </c>
      <c r="R526" t="s">
        <v>544</v>
      </c>
      <c r="S526" s="2">
        <v>92991</v>
      </c>
      <c r="T526" s="2">
        <v>71950</v>
      </c>
    </row>
    <row r="527" spans="14:20" x14ac:dyDescent="0.25">
      <c r="N527" t="s">
        <v>545</v>
      </c>
      <c r="O527" s="2">
        <v>9983</v>
      </c>
      <c r="P527" s="5">
        <v>0.12187069189426784</v>
      </c>
      <c r="R527" t="s">
        <v>545</v>
      </c>
      <c r="S527" s="2">
        <v>301112</v>
      </c>
      <c r="T527" s="2">
        <v>200204</v>
      </c>
    </row>
    <row r="528" spans="14:20" x14ac:dyDescent="0.25">
      <c r="N528" t="s">
        <v>546</v>
      </c>
      <c r="O528" s="2">
        <v>636</v>
      </c>
      <c r="P528" s="5">
        <v>6.1688311688311688E-2</v>
      </c>
      <c r="R528" t="s">
        <v>546</v>
      </c>
      <c r="S528" s="2">
        <v>34405</v>
      </c>
      <c r="T528" s="2">
        <v>22484</v>
      </c>
    </row>
    <row r="529" spans="14:20" x14ac:dyDescent="0.25">
      <c r="N529" t="s">
        <v>547</v>
      </c>
      <c r="O529" s="2">
        <v>4</v>
      </c>
      <c r="P529" s="5">
        <v>5.8823529411764705E-2</v>
      </c>
      <c r="R529" t="s">
        <v>547</v>
      </c>
      <c r="S529" s="2">
        <v>731</v>
      </c>
      <c r="T529" s="2">
        <v>238</v>
      </c>
    </row>
    <row r="530" spans="14:20" x14ac:dyDescent="0.25">
      <c r="N530" t="s">
        <v>548</v>
      </c>
      <c r="O530" s="2">
        <v>2188</v>
      </c>
      <c r="P530" s="5">
        <v>0.14796543095952158</v>
      </c>
      <c r="R530" t="s">
        <v>548</v>
      </c>
      <c r="S530" s="2">
        <v>120386</v>
      </c>
      <c r="T530" s="2">
        <v>56351</v>
      </c>
    </row>
    <row r="531" spans="14:20" x14ac:dyDescent="0.25">
      <c r="N531" t="s">
        <v>549</v>
      </c>
      <c r="O531" s="2">
        <v>97</v>
      </c>
      <c r="P531" s="5">
        <v>6.4717179403558353E-2</v>
      </c>
      <c r="R531" t="s">
        <v>549</v>
      </c>
      <c r="S531" s="2">
        <v>62072</v>
      </c>
      <c r="T531" s="2">
        <v>27597</v>
      </c>
    </row>
    <row r="532" spans="14:20" x14ac:dyDescent="0.25">
      <c r="N532" t="s">
        <v>550</v>
      </c>
      <c r="O532" s="2">
        <v>103</v>
      </c>
      <c r="P532" s="5">
        <v>4.1714947856315181E-2</v>
      </c>
      <c r="R532" t="s">
        <v>550</v>
      </c>
      <c r="S532" s="2">
        <v>21231</v>
      </c>
      <c r="T532" s="2">
        <v>9493</v>
      </c>
    </row>
    <row r="533" spans="14:20" x14ac:dyDescent="0.25">
      <c r="N533" t="s">
        <v>551</v>
      </c>
      <c r="O533" s="2">
        <v>50</v>
      </c>
      <c r="P533" s="5">
        <v>2.222378507630635E-2</v>
      </c>
      <c r="R533" t="s">
        <v>551</v>
      </c>
      <c r="S533" s="2">
        <v>24799</v>
      </c>
      <c r="T533" s="2">
        <v>14219</v>
      </c>
    </row>
    <row r="534" spans="14:20" x14ac:dyDescent="0.25">
      <c r="N534" t="s">
        <v>552</v>
      </c>
      <c r="O534" s="2">
        <v>28</v>
      </c>
      <c r="P534" s="5">
        <v>7.5968992248062014E-2</v>
      </c>
      <c r="R534" t="s">
        <v>552</v>
      </c>
      <c r="S534" s="2">
        <v>3061</v>
      </c>
      <c r="T534" s="2">
        <v>1290</v>
      </c>
    </row>
    <row r="535" spans="14:20" x14ac:dyDescent="0.25">
      <c r="N535" t="s">
        <v>553</v>
      </c>
      <c r="O535" s="2">
        <v>5353</v>
      </c>
      <c r="P535" s="5">
        <v>9.241926486084423E-2</v>
      </c>
      <c r="R535" t="s">
        <v>553</v>
      </c>
      <c r="S535" s="2">
        <v>340043</v>
      </c>
      <c r="T535" s="2">
        <v>161330</v>
      </c>
    </row>
    <row r="536" spans="14:20" x14ac:dyDescent="0.25">
      <c r="N536" t="s">
        <v>554</v>
      </c>
      <c r="O536" s="2">
        <v>145</v>
      </c>
      <c r="P536" s="5">
        <v>2.4895543175487464E-2</v>
      </c>
      <c r="R536" t="s">
        <v>554</v>
      </c>
      <c r="S536" s="2">
        <v>29619</v>
      </c>
      <c r="T536" s="2">
        <v>22976</v>
      </c>
    </row>
    <row r="537" spans="14:20" x14ac:dyDescent="0.25">
      <c r="N537" t="s">
        <v>555</v>
      </c>
      <c r="O537" s="2">
        <v>2634</v>
      </c>
      <c r="P537" s="5">
        <v>0.11281082642607942</v>
      </c>
      <c r="R537" t="s">
        <v>555</v>
      </c>
      <c r="S537" s="2">
        <v>422846</v>
      </c>
      <c r="T537" s="2">
        <v>225005</v>
      </c>
    </row>
    <row r="538" spans="14:20" x14ac:dyDescent="0.25">
      <c r="N538" t="s">
        <v>556</v>
      </c>
      <c r="O538" s="2">
        <v>235</v>
      </c>
      <c r="P538" s="5">
        <v>6.1210394543727877E-2</v>
      </c>
      <c r="R538" t="s">
        <v>556</v>
      </c>
      <c r="S538" s="2">
        <v>27037</v>
      </c>
      <c r="T538" s="2">
        <v>11583</v>
      </c>
    </row>
    <row r="539" spans="14:20" x14ac:dyDescent="0.25">
      <c r="N539" t="s">
        <v>557</v>
      </c>
      <c r="O539" s="2">
        <v>79</v>
      </c>
      <c r="P539" s="5">
        <v>4.233897273083112E-2</v>
      </c>
      <c r="R539" t="s">
        <v>557</v>
      </c>
      <c r="S539" s="2">
        <v>58108</v>
      </c>
      <c r="T539" s="2">
        <v>45986</v>
      </c>
    </row>
    <row r="540" spans="14:20" x14ac:dyDescent="0.25">
      <c r="N540" t="s">
        <v>558</v>
      </c>
      <c r="O540" s="2">
        <v>240</v>
      </c>
      <c r="P540" s="5">
        <v>4.8566561559928965E-2</v>
      </c>
      <c r="R540" t="s">
        <v>558</v>
      </c>
      <c r="S540" s="2">
        <v>39598</v>
      </c>
      <c r="T540" s="2">
        <v>27591</v>
      </c>
    </row>
    <row r="541" spans="14:20" x14ac:dyDescent="0.25">
      <c r="N541" t="s">
        <v>559</v>
      </c>
      <c r="O541" s="2">
        <v>54</v>
      </c>
      <c r="P541" s="5">
        <v>5.2930275654389625E-2</v>
      </c>
      <c r="R541" t="s">
        <v>559</v>
      </c>
      <c r="S541" s="2">
        <v>13315</v>
      </c>
      <c r="T541" s="2">
        <v>8634</v>
      </c>
    </row>
    <row r="542" spans="14:20" x14ac:dyDescent="0.25">
      <c r="N542" t="s">
        <v>560</v>
      </c>
      <c r="O542" s="2">
        <v>1133</v>
      </c>
      <c r="P542" s="5">
        <v>7.7061746586616089E-2</v>
      </c>
      <c r="R542" t="s">
        <v>560</v>
      </c>
      <c r="S542" s="2">
        <v>205114</v>
      </c>
      <c r="T542" s="2">
        <v>63793</v>
      </c>
    </row>
    <row r="543" spans="14:20" x14ac:dyDescent="0.25">
      <c r="N543" t="s">
        <v>561</v>
      </c>
      <c r="O543" s="2">
        <v>46</v>
      </c>
      <c r="P543" s="5">
        <v>7.6418547895057962E-2</v>
      </c>
      <c r="R543" t="s">
        <v>561</v>
      </c>
      <c r="S543" s="2">
        <v>13067</v>
      </c>
      <c r="T543" s="2">
        <v>6556</v>
      </c>
    </row>
    <row r="544" spans="14:20" x14ac:dyDescent="0.25">
      <c r="N544" t="s">
        <v>562</v>
      </c>
      <c r="O544" s="2">
        <v>92</v>
      </c>
      <c r="P544" s="5">
        <v>6.5064102564102569E-2</v>
      </c>
      <c r="R544" t="s">
        <v>562</v>
      </c>
      <c r="S544" s="2">
        <v>14564</v>
      </c>
      <c r="T544" s="2">
        <v>6240</v>
      </c>
    </row>
    <row r="545" spans="14:20" x14ac:dyDescent="0.25">
      <c r="N545" t="s">
        <v>563</v>
      </c>
      <c r="O545" s="2">
        <v>474</v>
      </c>
      <c r="P545" s="5">
        <v>4.8531496133627575E-2</v>
      </c>
      <c r="R545" t="s">
        <v>563</v>
      </c>
      <c r="S545" s="2">
        <v>84635</v>
      </c>
      <c r="T545" s="2">
        <v>55737</v>
      </c>
    </row>
    <row r="546" spans="14:20" x14ac:dyDescent="0.25">
      <c r="N546" t="s">
        <v>564</v>
      </c>
      <c r="O546" s="2">
        <v>45</v>
      </c>
      <c r="P546" s="5">
        <v>4.651574106827025E-2</v>
      </c>
      <c r="R546" t="s">
        <v>564</v>
      </c>
      <c r="S546" s="2">
        <v>10273</v>
      </c>
      <c r="T546" s="2">
        <v>5654</v>
      </c>
    </row>
    <row r="547" spans="14:20" x14ac:dyDescent="0.25">
      <c r="N547" t="s">
        <v>565</v>
      </c>
      <c r="O547" s="2">
        <v>85</v>
      </c>
      <c r="P547" s="5">
        <v>4.8612703508369638E-2</v>
      </c>
      <c r="R547" t="s">
        <v>565</v>
      </c>
      <c r="S547" s="2">
        <v>7109</v>
      </c>
      <c r="T547" s="2">
        <v>4361</v>
      </c>
    </row>
    <row r="548" spans="14:20" x14ac:dyDescent="0.25">
      <c r="N548" t="s">
        <v>566</v>
      </c>
      <c r="O548" s="2">
        <v>323</v>
      </c>
      <c r="P548" s="5">
        <v>7.5657894736842105E-2</v>
      </c>
      <c r="R548" t="s">
        <v>566</v>
      </c>
      <c r="S548" s="2">
        <v>26436</v>
      </c>
      <c r="T548" s="2">
        <v>17632</v>
      </c>
    </row>
    <row r="549" spans="14:20" x14ac:dyDescent="0.25">
      <c r="N549" t="s">
        <v>567</v>
      </c>
      <c r="O549" s="2">
        <v>156</v>
      </c>
      <c r="P549" s="5">
        <v>5.8296644906634276E-2</v>
      </c>
      <c r="R549" t="s">
        <v>567</v>
      </c>
      <c r="S549" s="2">
        <v>10617</v>
      </c>
      <c r="T549" s="2">
        <v>6587</v>
      </c>
    </row>
    <row r="550" spans="14:20" x14ac:dyDescent="0.25">
      <c r="N550" t="s">
        <v>568</v>
      </c>
      <c r="O550" s="2">
        <v>450</v>
      </c>
      <c r="P550" s="5">
        <v>6.6785495460368743E-2</v>
      </c>
      <c r="R550" t="s">
        <v>568</v>
      </c>
      <c r="S550" s="2">
        <v>25704</v>
      </c>
      <c r="T550" s="2">
        <v>17953</v>
      </c>
    </row>
    <row r="551" spans="14:20" x14ac:dyDescent="0.25">
      <c r="N551" t="s">
        <v>569</v>
      </c>
      <c r="O551" s="2">
        <v>4138</v>
      </c>
      <c r="P551" s="5">
        <v>9.0347376356897713E-2</v>
      </c>
      <c r="R551" t="s">
        <v>569</v>
      </c>
      <c r="S551" s="2">
        <v>280933</v>
      </c>
      <c r="T551" s="2">
        <v>189679</v>
      </c>
    </row>
    <row r="552" spans="14:20" x14ac:dyDescent="0.25">
      <c r="N552" t="s">
        <v>570</v>
      </c>
      <c r="O552" s="2">
        <v>194</v>
      </c>
      <c r="P552" s="5">
        <v>6.6832032020745835E-2</v>
      </c>
      <c r="R552" t="s">
        <v>570</v>
      </c>
      <c r="S552" s="2">
        <v>68366</v>
      </c>
      <c r="T552" s="2">
        <v>35477</v>
      </c>
    </row>
    <row r="553" spans="14:20" x14ac:dyDescent="0.25">
      <c r="N553" t="s">
        <v>571</v>
      </c>
      <c r="O553" s="2">
        <v>6680</v>
      </c>
      <c r="P553" s="5">
        <v>0.14659648833275377</v>
      </c>
      <c r="R553" t="s">
        <v>571</v>
      </c>
      <c r="S553" s="2">
        <v>335088</v>
      </c>
      <c r="T553" s="2">
        <v>169663</v>
      </c>
    </row>
    <row r="554" spans="14:20" x14ac:dyDescent="0.25">
      <c r="N554" t="s">
        <v>572</v>
      </c>
      <c r="O554" s="2">
        <v>3031</v>
      </c>
      <c r="P554" s="5">
        <v>0.14269817241275601</v>
      </c>
      <c r="R554" t="s">
        <v>572</v>
      </c>
      <c r="S554" s="2">
        <v>483615</v>
      </c>
      <c r="T554" s="2">
        <v>199498</v>
      </c>
    </row>
    <row r="555" spans="14:20" x14ac:dyDescent="0.25">
      <c r="N555" t="s">
        <v>573</v>
      </c>
      <c r="O555" s="2">
        <v>354</v>
      </c>
      <c r="P555" s="5">
        <v>6.3464837049742706E-2</v>
      </c>
      <c r="R555" t="s">
        <v>573</v>
      </c>
      <c r="S555" s="2">
        <v>19259</v>
      </c>
      <c r="T555" s="2">
        <v>12826</v>
      </c>
    </row>
    <row r="556" spans="14:20" x14ac:dyDescent="0.25">
      <c r="N556" t="s">
        <v>574</v>
      </c>
      <c r="O556" s="2">
        <v>2353</v>
      </c>
      <c r="P556" s="5">
        <v>0.13762787399979742</v>
      </c>
      <c r="R556" t="s">
        <v>574</v>
      </c>
      <c r="S556" s="2">
        <v>105734</v>
      </c>
      <c r="T556" s="2">
        <v>49365</v>
      </c>
    </row>
    <row r="557" spans="14:20" x14ac:dyDescent="0.25">
      <c r="N557" t="s">
        <v>575</v>
      </c>
      <c r="O557" s="2">
        <v>3817</v>
      </c>
      <c r="P557" s="5">
        <v>0.11170306080051706</v>
      </c>
      <c r="R557" t="s">
        <v>575</v>
      </c>
      <c r="S557" s="2">
        <v>314434</v>
      </c>
      <c r="T557" s="2">
        <v>216610</v>
      </c>
    </row>
    <row r="558" spans="14:20" x14ac:dyDescent="0.25">
      <c r="N558" t="s">
        <v>576</v>
      </c>
      <c r="O558" s="2">
        <v>27</v>
      </c>
      <c r="P558" s="5">
        <v>6.4516129032258063E-2</v>
      </c>
      <c r="R558" t="s">
        <v>576</v>
      </c>
      <c r="S558" s="2">
        <v>3279</v>
      </c>
      <c r="T558" s="2">
        <v>2511</v>
      </c>
    </row>
    <row r="559" spans="14:20" x14ac:dyDescent="0.25">
      <c r="N559" t="s">
        <v>577</v>
      </c>
      <c r="O559" s="2">
        <v>511</v>
      </c>
      <c r="P559" s="5">
        <v>6.0239874638379945E-2</v>
      </c>
      <c r="R559" t="s">
        <v>577</v>
      </c>
      <c r="S559" s="2">
        <v>49064</v>
      </c>
      <c r="T559" s="2">
        <v>33184</v>
      </c>
    </row>
    <row r="560" spans="14:20" x14ac:dyDescent="0.25">
      <c r="N560" t="s">
        <v>578</v>
      </c>
      <c r="O560" s="2">
        <v>97</v>
      </c>
      <c r="P560" s="5">
        <v>6.118380062305296E-2</v>
      </c>
      <c r="R560" t="s">
        <v>578</v>
      </c>
      <c r="S560" s="2">
        <v>13079</v>
      </c>
      <c r="T560" s="2">
        <v>8025</v>
      </c>
    </row>
    <row r="561" spans="14:20" x14ac:dyDescent="0.25">
      <c r="N561" t="s">
        <v>579</v>
      </c>
      <c r="O561" s="2">
        <v>980</v>
      </c>
      <c r="P561" s="5">
        <v>7.1244979919678708E-2</v>
      </c>
      <c r="R561" t="s">
        <v>579</v>
      </c>
      <c r="S561" s="2">
        <v>68875</v>
      </c>
      <c r="T561" s="2">
        <v>37350</v>
      </c>
    </row>
    <row r="562" spans="14:20" x14ac:dyDescent="0.25">
      <c r="N562" t="s">
        <v>580</v>
      </c>
      <c r="O562" s="2">
        <v>2913</v>
      </c>
      <c r="P562" s="5">
        <v>5.8026254414606515E-2</v>
      </c>
      <c r="R562" t="s">
        <v>580</v>
      </c>
      <c r="S562" s="2">
        <v>292218</v>
      </c>
      <c r="T562" s="2">
        <v>150070</v>
      </c>
    </row>
    <row r="563" spans="14:20" x14ac:dyDescent="0.25">
      <c r="N563" t="s">
        <v>581</v>
      </c>
      <c r="O563" s="2">
        <v>19</v>
      </c>
      <c r="P563" s="5">
        <v>6.5862708719851573E-2</v>
      </c>
      <c r="R563" t="s">
        <v>581</v>
      </c>
      <c r="S563" s="2">
        <v>2008</v>
      </c>
      <c r="T563" s="2">
        <v>1078</v>
      </c>
    </row>
    <row r="564" spans="14:20" x14ac:dyDescent="0.25">
      <c r="N564" t="s">
        <v>582</v>
      </c>
      <c r="O564" s="2">
        <v>1251</v>
      </c>
      <c r="P564" s="5">
        <v>0.15062791923377497</v>
      </c>
      <c r="R564" t="s">
        <v>582</v>
      </c>
      <c r="S564" s="2">
        <v>186197</v>
      </c>
      <c r="T564" s="2">
        <v>110046</v>
      </c>
    </row>
    <row r="565" spans="14:20" x14ac:dyDescent="0.25">
      <c r="N565" t="s">
        <v>583</v>
      </c>
      <c r="O565" s="2">
        <v>23</v>
      </c>
      <c r="P565" s="5">
        <v>6.8381742738589213E-2</v>
      </c>
      <c r="R565" t="s">
        <v>583</v>
      </c>
      <c r="S565" s="2">
        <v>10544</v>
      </c>
      <c r="T565" s="2">
        <v>6025</v>
      </c>
    </row>
    <row r="566" spans="14:20" x14ac:dyDescent="0.25">
      <c r="N566" t="s">
        <v>584</v>
      </c>
      <c r="O566" s="2">
        <v>1254</v>
      </c>
      <c r="P566" s="5">
        <v>0.14308920566161284</v>
      </c>
      <c r="R566" t="s">
        <v>584</v>
      </c>
      <c r="S566" s="2">
        <v>150291</v>
      </c>
      <c r="T566" s="2">
        <v>79412</v>
      </c>
    </row>
    <row r="567" spans="14:20" x14ac:dyDescent="0.25">
      <c r="N567" t="s">
        <v>585</v>
      </c>
      <c r="O567" s="2">
        <v>73</v>
      </c>
      <c r="P567" s="5">
        <v>8.858520900321544E-2</v>
      </c>
      <c r="R567" t="s">
        <v>585</v>
      </c>
      <c r="S567" s="2">
        <v>10578</v>
      </c>
      <c r="T567" s="2">
        <v>6220</v>
      </c>
    </row>
    <row r="568" spans="14:20" x14ac:dyDescent="0.25">
      <c r="N568" t="s">
        <v>586</v>
      </c>
      <c r="O568" s="2">
        <v>2658</v>
      </c>
      <c r="P568" s="5">
        <v>8.6749253029845236E-2</v>
      </c>
      <c r="R568" t="s">
        <v>586</v>
      </c>
      <c r="S568" s="2">
        <v>125093</v>
      </c>
      <c r="T568" s="2">
        <v>59574</v>
      </c>
    </row>
    <row r="569" spans="14:20" x14ac:dyDescent="0.25">
      <c r="N569" t="s">
        <v>587</v>
      </c>
      <c r="O569" s="2">
        <v>278</v>
      </c>
      <c r="P569" s="5">
        <v>3.7893273074917432E-2</v>
      </c>
      <c r="R569" t="s">
        <v>587</v>
      </c>
      <c r="S569" s="2">
        <v>34704</v>
      </c>
      <c r="T569" s="2">
        <v>23012</v>
      </c>
    </row>
    <row r="570" spans="14:20" x14ac:dyDescent="0.25">
      <c r="N570" t="s">
        <v>588</v>
      </c>
      <c r="O570" s="2">
        <v>32</v>
      </c>
      <c r="P570" s="5">
        <v>1.6206896551724137E-2</v>
      </c>
      <c r="R570" t="s">
        <v>588</v>
      </c>
      <c r="S570" s="2">
        <v>9830</v>
      </c>
      <c r="T570" s="2">
        <v>8700</v>
      </c>
    </row>
    <row r="571" spans="14:20" x14ac:dyDescent="0.25">
      <c r="N571" t="s">
        <v>589</v>
      </c>
      <c r="O571" s="2">
        <v>61</v>
      </c>
      <c r="P571" s="5">
        <v>7.9351840819730735E-2</v>
      </c>
      <c r="R571" t="s">
        <v>589</v>
      </c>
      <c r="S571" s="2">
        <v>16856</v>
      </c>
      <c r="T571" s="2">
        <v>8393</v>
      </c>
    </row>
    <row r="572" spans="14:20" x14ac:dyDescent="0.25">
      <c r="N572" t="s">
        <v>590</v>
      </c>
      <c r="O572" s="2">
        <v>12</v>
      </c>
      <c r="P572" s="5">
        <v>8.424374848264142E-2</v>
      </c>
      <c r="R572" t="s">
        <v>590</v>
      </c>
      <c r="S572" s="2">
        <v>10726</v>
      </c>
      <c r="T572" s="2">
        <v>8238</v>
      </c>
    </row>
    <row r="573" spans="14:20" x14ac:dyDescent="0.25">
      <c r="N573" t="s">
        <v>591</v>
      </c>
      <c r="O573" s="2">
        <v>2</v>
      </c>
      <c r="P573" s="5">
        <v>4.2857142857142858E-2</v>
      </c>
      <c r="R573" t="s">
        <v>591</v>
      </c>
      <c r="S573" s="2">
        <v>430</v>
      </c>
      <c r="T573" s="2">
        <v>140</v>
      </c>
    </row>
    <row r="574" spans="14:20" x14ac:dyDescent="0.25">
      <c r="N574" t="s">
        <v>592</v>
      </c>
      <c r="O574" s="2">
        <v>49</v>
      </c>
      <c r="P574" s="5">
        <v>6.2869425040300908E-2</v>
      </c>
      <c r="R574" t="s">
        <v>592</v>
      </c>
      <c r="S574" s="2">
        <v>39894</v>
      </c>
      <c r="T574" s="2">
        <v>18610</v>
      </c>
    </row>
    <row r="575" spans="14:20" x14ac:dyDescent="0.25">
      <c r="N575" t="s">
        <v>593</v>
      </c>
      <c r="O575" s="2">
        <v>10</v>
      </c>
      <c r="P575" s="5">
        <v>2.7758816837315133E-2</v>
      </c>
      <c r="R575" t="s">
        <v>593</v>
      </c>
      <c r="S575" s="2">
        <v>8400</v>
      </c>
      <c r="T575" s="2">
        <v>4395</v>
      </c>
    </row>
    <row r="576" spans="14:20" x14ac:dyDescent="0.25">
      <c r="N576" t="s">
        <v>594</v>
      </c>
      <c r="O576" s="2">
        <v>59</v>
      </c>
      <c r="P576" s="5">
        <v>6.3898450946643717E-2</v>
      </c>
      <c r="R576" t="s">
        <v>594</v>
      </c>
      <c r="S576" s="2">
        <v>8815</v>
      </c>
      <c r="T576" s="2">
        <v>4648</v>
      </c>
    </row>
    <row r="577" spans="14:20" x14ac:dyDescent="0.25">
      <c r="N577" t="s">
        <v>595</v>
      </c>
      <c r="O577" s="2">
        <v>558</v>
      </c>
      <c r="P577" s="5">
        <v>9.7299591490264736E-2</v>
      </c>
      <c r="R577" t="s">
        <v>595</v>
      </c>
      <c r="S577" s="2">
        <v>31337</v>
      </c>
      <c r="T577" s="2">
        <v>18849</v>
      </c>
    </row>
    <row r="578" spans="14:20" x14ac:dyDescent="0.25">
      <c r="N578" t="s">
        <v>596</v>
      </c>
      <c r="O578" s="2">
        <v>142</v>
      </c>
      <c r="P578" s="5">
        <v>9.367765496103557E-2</v>
      </c>
      <c r="R578" t="s">
        <v>596</v>
      </c>
      <c r="S578" s="2">
        <v>40741</v>
      </c>
      <c r="T578" s="2">
        <v>30669</v>
      </c>
    </row>
    <row r="579" spans="14:20" x14ac:dyDescent="0.25">
      <c r="N579" t="s">
        <v>597</v>
      </c>
      <c r="O579" s="2">
        <v>278</v>
      </c>
      <c r="P579" s="5">
        <v>9.7799634962482257E-2</v>
      </c>
      <c r="R579" t="s">
        <v>597</v>
      </c>
      <c r="S579" s="2">
        <v>90765</v>
      </c>
      <c r="T579" s="2">
        <v>39448</v>
      </c>
    </row>
    <row r="580" spans="14:20" x14ac:dyDescent="0.25">
      <c r="N580" t="s">
        <v>598</v>
      </c>
      <c r="O580" s="2">
        <v>412</v>
      </c>
      <c r="P580" s="5">
        <v>6.3918376533253315E-2</v>
      </c>
      <c r="R580" t="s">
        <v>598</v>
      </c>
      <c r="S580" s="2">
        <v>59087</v>
      </c>
      <c r="T580" s="2">
        <v>26659</v>
      </c>
    </row>
    <row r="581" spans="14:20" x14ac:dyDescent="0.25">
      <c r="N581" t="s">
        <v>599</v>
      </c>
      <c r="O581" s="2">
        <v>33</v>
      </c>
      <c r="P581" s="5">
        <v>5.6451612903225805E-2</v>
      </c>
      <c r="R581" t="s">
        <v>599</v>
      </c>
      <c r="S581" s="2">
        <v>10178</v>
      </c>
      <c r="T581" s="2">
        <v>6696</v>
      </c>
    </row>
    <row r="582" spans="14:20" x14ac:dyDescent="0.25">
      <c r="N582" t="s">
        <v>600</v>
      </c>
      <c r="O582" s="2">
        <v>1608</v>
      </c>
      <c r="P582" s="5">
        <v>0.10247068676716918</v>
      </c>
      <c r="R582" t="s">
        <v>600</v>
      </c>
      <c r="S582" s="2">
        <v>93677</v>
      </c>
      <c r="T582" s="2">
        <v>47760</v>
      </c>
    </row>
    <row r="583" spans="14:20" x14ac:dyDescent="0.25">
      <c r="N583" t="s">
        <v>601</v>
      </c>
      <c r="O583" s="2">
        <v>105</v>
      </c>
      <c r="P583" s="5">
        <v>6.1628007992355141E-2</v>
      </c>
      <c r="R583" t="s">
        <v>601</v>
      </c>
      <c r="S583" s="2">
        <v>72995</v>
      </c>
      <c r="T583" s="2">
        <v>57555</v>
      </c>
    </row>
    <row r="584" spans="14:20" x14ac:dyDescent="0.25">
      <c r="N584" t="s">
        <v>602</v>
      </c>
      <c r="O584" s="2">
        <v>29</v>
      </c>
      <c r="P584" s="5">
        <v>4.6820405310971348E-2</v>
      </c>
      <c r="R584" t="s">
        <v>602</v>
      </c>
      <c r="S584" s="2">
        <v>4486</v>
      </c>
      <c r="T584" s="2">
        <v>1431</v>
      </c>
    </row>
    <row r="585" spans="14:20" x14ac:dyDescent="0.25">
      <c r="N585" t="s">
        <v>603</v>
      </c>
      <c r="O585" s="2">
        <v>1566</v>
      </c>
      <c r="P585" s="5">
        <v>0.11304722060972436</v>
      </c>
      <c r="R585" t="s">
        <v>603</v>
      </c>
      <c r="S585" s="2">
        <v>237487</v>
      </c>
      <c r="T585" s="2">
        <v>99914</v>
      </c>
    </row>
    <row r="586" spans="14:20" x14ac:dyDescent="0.25">
      <c r="N586" t="s">
        <v>604</v>
      </c>
      <c r="O586" s="2">
        <v>85</v>
      </c>
      <c r="P586" s="5">
        <v>6.9048137660640385E-2</v>
      </c>
      <c r="R586" t="s">
        <v>604</v>
      </c>
      <c r="S586" s="2">
        <v>10170</v>
      </c>
      <c r="T586" s="2">
        <v>4591</v>
      </c>
    </row>
    <row r="587" spans="14:20" x14ac:dyDescent="0.25">
      <c r="N587" t="s">
        <v>605</v>
      </c>
      <c r="O587" s="2">
        <v>83</v>
      </c>
      <c r="P587" s="5">
        <v>4.4399368942979488E-2</v>
      </c>
      <c r="R587" t="s">
        <v>605</v>
      </c>
      <c r="S587" s="2">
        <v>27574</v>
      </c>
      <c r="T587" s="2">
        <v>8874</v>
      </c>
    </row>
    <row r="588" spans="14:20" x14ac:dyDescent="0.25">
      <c r="N588" t="s">
        <v>606</v>
      </c>
      <c r="O588" s="2">
        <v>2854</v>
      </c>
      <c r="P588" s="5">
        <v>0.10824306621779613</v>
      </c>
      <c r="R588" t="s">
        <v>606</v>
      </c>
      <c r="S588" s="2">
        <v>352524</v>
      </c>
      <c r="T588" s="2">
        <v>141986</v>
      </c>
    </row>
    <row r="589" spans="14:20" x14ac:dyDescent="0.25">
      <c r="N589" t="s">
        <v>607</v>
      </c>
      <c r="O589" s="2">
        <v>144</v>
      </c>
      <c r="P589" s="5">
        <v>4.0716187294461553E-2</v>
      </c>
      <c r="R589" t="s">
        <v>607</v>
      </c>
      <c r="S589" s="2">
        <v>43587</v>
      </c>
      <c r="T589" s="2">
        <v>19157</v>
      </c>
    </row>
    <row r="590" spans="14:20" x14ac:dyDescent="0.25">
      <c r="N590" t="s">
        <v>608</v>
      </c>
      <c r="O590" s="2">
        <v>1698</v>
      </c>
      <c r="P590" s="5">
        <v>0.15066952078873769</v>
      </c>
      <c r="R590" t="s">
        <v>608</v>
      </c>
      <c r="S590" s="2">
        <v>212134</v>
      </c>
      <c r="T590" s="2">
        <v>64001</v>
      </c>
    </row>
    <row r="591" spans="14:20" x14ac:dyDescent="0.25">
      <c r="N591" t="s">
        <v>609</v>
      </c>
      <c r="O591" s="2">
        <v>198</v>
      </c>
      <c r="P591" s="5">
        <v>8.7824919659927586E-2</v>
      </c>
      <c r="R591" t="s">
        <v>609</v>
      </c>
      <c r="S591" s="2">
        <v>40971</v>
      </c>
      <c r="T591" s="2">
        <v>24583</v>
      </c>
    </row>
    <row r="592" spans="14:20" x14ac:dyDescent="0.25">
      <c r="N592" t="s">
        <v>610</v>
      </c>
      <c r="O592" s="2">
        <v>4949</v>
      </c>
      <c r="P592" s="5">
        <v>8.8068569622162987E-2</v>
      </c>
      <c r="R592" t="s">
        <v>610</v>
      </c>
      <c r="S592" s="2">
        <v>335537</v>
      </c>
      <c r="T592" s="2">
        <v>139187</v>
      </c>
    </row>
    <row r="593" spans="14:20" x14ac:dyDescent="0.25">
      <c r="N593" t="s">
        <v>611</v>
      </c>
      <c r="O593" s="2">
        <v>1327</v>
      </c>
      <c r="P593" s="5">
        <v>7.155677203688332E-2</v>
      </c>
      <c r="R593" t="s">
        <v>611</v>
      </c>
      <c r="S593" s="2">
        <v>131357</v>
      </c>
      <c r="T593" s="2">
        <v>89146</v>
      </c>
    </row>
    <row r="594" spans="14:20" x14ac:dyDescent="0.25">
      <c r="N594" t="s">
        <v>612</v>
      </c>
      <c r="O594" s="2">
        <v>36</v>
      </c>
      <c r="P594" s="5">
        <v>4.6419098143236075E-2</v>
      </c>
      <c r="R594" t="s">
        <v>612</v>
      </c>
      <c r="S594" s="2">
        <v>5270</v>
      </c>
      <c r="T594" s="2">
        <v>3016</v>
      </c>
    </row>
    <row r="595" spans="14:20" x14ac:dyDescent="0.25">
      <c r="N595" t="s">
        <v>613</v>
      </c>
      <c r="O595" s="2">
        <v>11</v>
      </c>
      <c r="P595" s="5">
        <v>3.067700987306065E-2</v>
      </c>
      <c r="R595" t="s">
        <v>613</v>
      </c>
      <c r="S595" s="2">
        <v>4484</v>
      </c>
      <c r="T595" s="2">
        <v>2836</v>
      </c>
    </row>
    <row r="596" spans="14:20" x14ac:dyDescent="0.25">
      <c r="N596" t="s">
        <v>614</v>
      </c>
      <c r="O596" s="2">
        <v>102</v>
      </c>
      <c r="P596" s="5">
        <v>4.5603879849812262E-2</v>
      </c>
      <c r="R596" t="s">
        <v>614</v>
      </c>
      <c r="S596" s="2">
        <v>20916</v>
      </c>
      <c r="T596" s="2">
        <v>12784</v>
      </c>
    </row>
    <row r="597" spans="14:20" x14ac:dyDescent="0.25">
      <c r="N597" t="s">
        <v>615</v>
      </c>
      <c r="O597" s="2">
        <v>29</v>
      </c>
      <c r="P597" s="5">
        <v>4.2059219380888288E-2</v>
      </c>
      <c r="R597" t="s">
        <v>615</v>
      </c>
      <c r="S597" s="2">
        <v>5694</v>
      </c>
      <c r="T597" s="2">
        <v>2972</v>
      </c>
    </row>
    <row r="598" spans="14:20" x14ac:dyDescent="0.25">
      <c r="N598" t="s">
        <v>616</v>
      </c>
      <c r="O598" s="2">
        <v>188</v>
      </c>
      <c r="P598" s="5">
        <v>3.5936927026035938E-2</v>
      </c>
      <c r="R598" t="s">
        <v>616</v>
      </c>
      <c r="S598" s="2">
        <v>19943</v>
      </c>
      <c r="T598" s="2">
        <v>13635</v>
      </c>
    </row>
    <row r="599" spans="14:20" x14ac:dyDescent="0.25">
      <c r="N599" t="s">
        <v>617</v>
      </c>
      <c r="O599" s="2">
        <v>134</v>
      </c>
      <c r="P599" s="5">
        <v>4.1504079460801702E-2</v>
      </c>
      <c r="R599" t="s">
        <v>617</v>
      </c>
      <c r="S599" s="2">
        <v>32370</v>
      </c>
      <c r="T599" s="2">
        <v>19733</v>
      </c>
    </row>
    <row r="600" spans="14:20" x14ac:dyDescent="0.25">
      <c r="N600" t="s">
        <v>618</v>
      </c>
      <c r="O600" s="2">
        <v>20</v>
      </c>
      <c r="P600" s="5">
        <v>4.7487138899881279E-2</v>
      </c>
      <c r="R600" t="s">
        <v>618</v>
      </c>
      <c r="S600" s="2">
        <v>3743</v>
      </c>
      <c r="T600" s="2">
        <v>2527</v>
      </c>
    </row>
    <row r="601" spans="14:20" x14ac:dyDescent="0.25">
      <c r="N601" t="s">
        <v>619</v>
      </c>
      <c r="O601" s="2">
        <v>16</v>
      </c>
      <c r="P601" s="5">
        <v>6.5546218487394961E-2</v>
      </c>
      <c r="R601" t="s">
        <v>619</v>
      </c>
      <c r="S601" s="2">
        <v>985</v>
      </c>
      <c r="T601" s="2">
        <v>595</v>
      </c>
    </row>
    <row r="602" spans="14:20" x14ac:dyDescent="0.25">
      <c r="N602" t="s">
        <v>620</v>
      </c>
      <c r="O602" s="2">
        <v>34</v>
      </c>
      <c r="P602" s="5">
        <v>5.6975077772728859E-2</v>
      </c>
      <c r="R602" t="s">
        <v>620</v>
      </c>
      <c r="S602" s="2">
        <v>59877</v>
      </c>
      <c r="T602" s="2">
        <v>28609</v>
      </c>
    </row>
    <row r="603" spans="14:20" x14ac:dyDescent="0.25">
      <c r="N603" t="s">
        <v>621</v>
      </c>
      <c r="O603" s="2">
        <v>183</v>
      </c>
      <c r="P603" s="5">
        <v>3.9193842414421712E-2</v>
      </c>
      <c r="R603" t="s">
        <v>621</v>
      </c>
      <c r="S603" s="2">
        <v>13715</v>
      </c>
      <c r="T603" s="2">
        <v>9874</v>
      </c>
    </row>
    <row r="604" spans="14:20" x14ac:dyDescent="0.25">
      <c r="N604" t="s">
        <v>622</v>
      </c>
      <c r="O604" s="2">
        <v>805</v>
      </c>
      <c r="P604" s="5">
        <v>8.3478610701354428E-2</v>
      </c>
      <c r="R604" t="s">
        <v>622</v>
      </c>
      <c r="S604" s="2">
        <v>64617</v>
      </c>
      <c r="T604" s="2">
        <v>29828</v>
      </c>
    </row>
    <row r="605" spans="14:20" x14ac:dyDescent="0.25">
      <c r="N605" t="s">
        <v>623</v>
      </c>
      <c r="O605" s="2">
        <v>575</v>
      </c>
      <c r="P605" s="5">
        <v>3.8201029531292334E-2</v>
      </c>
      <c r="R605" t="s">
        <v>623</v>
      </c>
      <c r="S605" s="2">
        <v>51684</v>
      </c>
      <c r="T605" s="2">
        <v>33219</v>
      </c>
    </row>
    <row r="606" spans="14:20" x14ac:dyDescent="0.25">
      <c r="N606" t="s">
        <v>624</v>
      </c>
      <c r="O606" s="2">
        <v>34</v>
      </c>
      <c r="P606" s="5">
        <v>7.6613640519290552E-2</v>
      </c>
      <c r="R606" t="s">
        <v>624</v>
      </c>
      <c r="S606" s="2">
        <v>12490</v>
      </c>
      <c r="T606" s="2">
        <v>5469</v>
      </c>
    </row>
    <row r="607" spans="14:20" x14ac:dyDescent="0.25">
      <c r="N607" t="s">
        <v>625</v>
      </c>
      <c r="O607" s="2">
        <v>74</v>
      </c>
      <c r="P607" s="5">
        <v>3.0816959669079626E-2</v>
      </c>
      <c r="R607" t="s">
        <v>625</v>
      </c>
      <c r="S607" s="2">
        <v>23813</v>
      </c>
      <c r="T607" s="2">
        <v>9670</v>
      </c>
    </row>
    <row r="608" spans="14:20" x14ac:dyDescent="0.25">
      <c r="N608" t="s">
        <v>626</v>
      </c>
      <c r="O608" s="2">
        <v>6677</v>
      </c>
      <c r="P608" s="5">
        <v>8.0687334345870929E-2</v>
      </c>
      <c r="R608" t="s">
        <v>626</v>
      </c>
      <c r="S608" s="2">
        <v>257734</v>
      </c>
      <c r="T608" s="2">
        <v>167895</v>
      </c>
    </row>
    <row r="609" spans="14:20" x14ac:dyDescent="0.25">
      <c r="N609" t="s">
        <v>627</v>
      </c>
      <c r="O609" s="2">
        <v>332</v>
      </c>
      <c r="P609" s="5">
        <v>0.10945350544948597</v>
      </c>
      <c r="R609" t="s">
        <v>627</v>
      </c>
      <c r="S609" s="2">
        <v>23805</v>
      </c>
      <c r="T609" s="2">
        <v>12937</v>
      </c>
    </row>
    <row r="610" spans="14:20" x14ac:dyDescent="0.25">
      <c r="N610" t="s">
        <v>628</v>
      </c>
      <c r="O610" s="2">
        <v>2464</v>
      </c>
      <c r="P610" s="5">
        <v>0.16197104608106602</v>
      </c>
      <c r="R610" t="s">
        <v>628</v>
      </c>
      <c r="S610" s="2">
        <v>225861</v>
      </c>
      <c r="T610" s="2">
        <v>80749</v>
      </c>
    </row>
    <row r="611" spans="14:20" x14ac:dyDescent="0.25">
      <c r="N611" t="s">
        <v>629</v>
      </c>
      <c r="O611" s="2">
        <v>126</v>
      </c>
      <c r="P611" s="5">
        <v>7.6246334310850442E-2</v>
      </c>
      <c r="R611" t="s">
        <v>629</v>
      </c>
      <c r="S611" s="2">
        <v>32439</v>
      </c>
      <c r="T611" s="2">
        <v>24893</v>
      </c>
    </row>
    <row r="612" spans="14:20" x14ac:dyDescent="0.25">
      <c r="N612" t="s">
        <v>630</v>
      </c>
      <c r="O612" s="2">
        <v>126</v>
      </c>
      <c r="P612" s="5">
        <v>5.8273572377158037E-2</v>
      </c>
      <c r="R612" t="s">
        <v>630</v>
      </c>
      <c r="S612" s="2">
        <v>57901</v>
      </c>
      <c r="T612" s="2">
        <v>37650</v>
      </c>
    </row>
    <row r="613" spans="14:20" x14ac:dyDescent="0.25">
      <c r="N613" t="s">
        <v>631</v>
      </c>
      <c r="O613" s="2">
        <v>159</v>
      </c>
      <c r="P613" s="5">
        <v>5.1108322877457132E-2</v>
      </c>
      <c r="R613" t="s">
        <v>631</v>
      </c>
      <c r="S613" s="2">
        <v>19096</v>
      </c>
      <c r="T613" s="2">
        <v>11955</v>
      </c>
    </row>
    <row r="614" spans="14:20" x14ac:dyDescent="0.25">
      <c r="N614" t="s">
        <v>632</v>
      </c>
      <c r="O614" s="2">
        <v>16</v>
      </c>
      <c r="P614" s="5">
        <v>5.7985757884028481E-2</v>
      </c>
      <c r="R614" t="s">
        <v>632</v>
      </c>
      <c r="S614" s="2">
        <v>4308</v>
      </c>
      <c r="T614" s="2">
        <v>2949</v>
      </c>
    </row>
    <row r="615" spans="14:20" x14ac:dyDescent="0.25">
      <c r="N615" t="s">
        <v>633</v>
      </c>
      <c r="O615" s="2">
        <v>8458</v>
      </c>
      <c r="P615" s="5">
        <v>0.14600294909088823</v>
      </c>
      <c r="R615" t="s">
        <v>633</v>
      </c>
      <c r="S615" s="2">
        <v>374495</v>
      </c>
      <c r="T615" s="2">
        <v>174291</v>
      </c>
    </row>
    <row r="616" spans="14:20" x14ac:dyDescent="0.25">
      <c r="N616" t="s">
        <v>634</v>
      </c>
      <c r="O616" s="2">
        <v>2027</v>
      </c>
      <c r="P616" s="5">
        <v>7.6037939994155784E-2</v>
      </c>
      <c r="R616" t="s">
        <v>634</v>
      </c>
      <c r="S616" s="2">
        <v>305982</v>
      </c>
      <c r="T616" s="2">
        <v>126621</v>
      </c>
    </row>
    <row r="617" spans="14:20" x14ac:dyDescent="0.25">
      <c r="N617" t="s">
        <v>635</v>
      </c>
      <c r="O617" s="2">
        <v>228</v>
      </c>
      <c r="P617" s="5">
        <v>5.4607435358689595E-2</v>
      </c>
      <c r="R617" t="s">
        <v>635</v>
      </c>
      <c r="S617" s="2">
        <v>78081</v>
      </c>
      <c r="T617" s="2">
        <v>46642</v>
      </c>
    </row>
    <row r="618" spans="14:20" x14ac:dyDescent="0.25">
      <c r="N618" t="s">
        <v>636</v>
      </c>
      <c r="O618" s="2">
        <v>59</v>
      </c>
      <c r="P618" s="5">
        <v>7.9968639749117998E-2</v>
      </c>
      <c r="R618" t="s">
        <v>636</v>
      </c>
      <c r="S618" s="2">
        <v>5666</v>
      </c>
      <c r="T618" s="2">
        <v>2551</v>
      </c>
    </row>
    <row r="619" spans="14:20" x14ac:dyDescent="0.25">
      <c r="N619" t="s">
        <v>637</v>
      </c>
      <c r="O619" s="2">
        <v>7693</v>
      </c>
      <c r="P619" s="5">
        <v>0.11319582105545138</v>
      </c>
      <c r="R619" t="s">
        <v>637</v>
      </c>
      <c r="S619" s="2">
        <v>282470</v>
      </c>
      <c r="T619" s="2">
        <v>186650</v>
      </c>
    </row>
    <row r="620" spans="14:20" x14ac:dyDescent="0.25">
      <c r="N620" t="s">
        <v>638</v>
      </c>
      <c r="O620" s="2">
        <v>90</v>
      </c>
      <c r="P620" s="5">
        <v>5.7074130767548657E-2</v>
      </c>
      <c r="R620" t="s">
        <v>638</v>
      </c>
      <c r="S620" s="2">
        <v>8276</v>
      </c>
      <c r="T620" s="2">
        <v>4573</v>
      </c>
    </row>
    <row r="621" spans="14:20" x14ac:dyDescent="0.25">
      <c r="N621" t="s">
        <v>639</v>
      </c>
      <c r="O621" s="2">
        <v>63</v>
      </c>
      <c r="P621" s="5">
        <v>1.8343093351705132E-2</v>
      </c>
      <c r="R621" t="s">
        <v>639</v>
      </c>
      <c r="S621" s="2">
        <v>14687</v>
      </c>
      <c r="T621" s="2">
        <v>11612</v>
      </c>
    </row>
    <row r="622" spans="14:20" x14ac:dyDescent="0.25">
      <c r="N622" t="s">
        <v>640</v>
      </c>
      <c r="O622" s="2">
        <v>53</v>
      </c>
      <c r="P622" s="5">
        <v>3.6044973544973546E-2</v>
      </c>
      <c r="R622" t="s">
        <v>640</v>
      </c>
      <c r="S622" s="2">
        <v>8640</v>
      </c>
      <c r="T622" s="2">
        <v>6048</v>
      </c>
    </row>
    <row r="623" spans="14:20" x14ac:dyDescent="0.25">
      <c r="N623" t="s">
        <v>641</v>
      </c>
      <c r="O623" s="2">
        <v>71</v>
      </c>
      <c r="P623" s="5">
        <v>7.457971341532213E-2</v>
      </c>
      <c r="R623" t="s">
        <v>641</v>
      </c>
      <c r="S623" s="2">
        <v>11681</v>
      </c>
      <c r="T623" s="2">
        <v>8863</v>
      </c>
    </row>
    <row r="624" spans="14:20" x14ac:dyDescent="0.25">
      <c r="N624" t="s">
        <v>642</v>
      </c>
      <c r="O624" s="2">
        <v>1646</v>
      </c>
      <c r="P624" s="5">
        <v>0.13561720472570507</v>
      </c>
      <c r="R624" t="s">
        <v>642</v>
      </c>
      <c r="S624" s="2">
        <v>382426</v>
      </c>
      <c r="T624" s="2">
        <v>151935</v>
      </c>
    </row>
    <row r="625" spans="14:20" x14ac:dyDescent="0.25">
      <c r="N625" t="s">
        <v>643</v>
      </c>
      <c r="O625" s="2">
        <v>30</v>
      </c>
      <c r="P625" s="5">
        <v>1.948051948051948E-2</v>
      </c>
      <c r="R625" t="s">
        <v>643</v>
      </c>
      <c r="S625" s="2">
        <v>4755</v>
      </c>
      <c r="T625" s="2">
        <v>4004</v>
      </c>
    </row>
    <row r="626" spans="14:20" x14ac:dyDescent="0.25">
      <c r="N626" t="s">
        <v>644</v>
      </c>
      <c r="O626" s="2">
        <v>237</v>
      </c>
      <c r="P626" s="5">
        <v>2.4070850049201422E-2</v>
      </c>
      <c r="R626" t="s">
        <v>644</v>
      </c>
      <c r="S626" s="2">
        <v>56581</v>
      </c>
      <c r="T626" s="2">
        <v>39633</v>
      </c>
    </row>
    <row r="627" spans="14:20" x14ac:dyDescent="0.25">
      <c r="N627" t="s">
        <v>645</v>
      </c>
      <c r="O627" s="2">
        <v>142</v>
      </c>
      <c r="P627" s="5">
        <v>3.2885974797664176E-2</v>
      </c>
      <c r="R627" t="s">
        <v>645</v>
      </c>
      <c r="S627" s="2">
        <v>13892</v>
      </c>
      <c r="T627" s="2">
        <v>9761</v>
      </c>
    </row>
    <row r="628" spans="14:20" x14ac:dyDescent="0.25">
      <c r="N628" t="s">
        <v>646</v>
      </c>
      <c r="O628" s="2">
        <v>197</v>
      </c>
      <c r="P628" s="5">
        <v>5.1774453582579948E-2</v>
      </c>
      <c r="R628" t="s">
        <v>646</v>
      </c>
      <c r="S628" s="2">
        <v>66709</v>
      </c>
      <c r="T628" s="2">
        <v>49001</v>
      </c>
    </row>
    <row r="629" spans="14:20" x14ac:dyDescent="0.25">
      <c r="N629" t="s">
        <v>647</v>
      </c>
      <c r="O629" s="2">
        <v>128</v>
      </c>
      <c r="P629" s="5">
        <v>5.2193943479970785E-2</v>
      </c>
      <c r="R629" t="s">
        <v>647</v>
      </c>
      <c r="S629" s="2">
        <v>24231</v>
      </c>
      <c r="T629" s="2">
        <v>17799</v>
      </c>
    </row>
    <row r="630" spans="14:20" x14ac:dyDescent="0.25">
      <c r="N630" t="s">
        <v>648</v>
      </c>
      <c r="O630" s="2">
        <v>284</v>
      </c>
      <c r="P630" s="5">
        <v>3.9865492677315165E-2</v>
      </c>
      <c r="R630" t="s">
        <v>648</v>
      </c>
      <c r="S630" s="2">
        <v>30676</v>
      </c>
      <c r="T630" s="2">
        <v>22601</v>
      </c>
    </row>
    <row r="631" spans="14:20" x14ac:dyDescent="0.25">
      <c r="N631" t="s">
        <v>649</v>
      </c>
      <c r="O631" s="2">
        <v>155</v>
      </c>
      <c r="P631" s="5">
        <v>4.9488363669292768E-2</v>
      </c>
      <c r="R631" t="s">
        <v>649</v>
      </c>
      <c r="S631" s="2">
        <v>43458</v>
      </c>
      <c r="T631" s="2">
        <v>22086</v>
      </c>
    </row>
    <row r="632" spans="14:20" x14ac:dyDescent="0.25">
      <c r="N632" t="s">
        <v>650</v>
      </c>
      <c r="O632" s="2">
        <v>107</v>
      </c>
      <c r="P632" s="5">
        <v>7.8010516334798718E-2</v>
      </c>
      <c r="R632" t="s">
        <v>650</v>
      </c>
      <c r="S632" s="2">
        <v>24339</v>
      </c>
      <c r="T632" s="2">
        <v>11601</v>
      </c>
    </row>
    <row r="633" spans="14:20" x14ac:dyDescent="0.25">
      <c r="N633" t="s">
        <v>651</v>
      </c>
      <c r="O633" s="2">
        <v>210</v>
      </c>
      <c r="P633" s="5">
        <v>5.0212649197420772E-2</v>
      </c>
      <c r="R633" t="s">
        <v>651</v>
      </c>
      <c r="S633" s="2">
        <v>23608</v>
      </c>
      <c r="T633" s="2">
        <v>14578</v>
      </c>
    </row>
    <row r="634" spans="14:20" x14ac:dyDescent="0.25">
      <c r="N634" t="s">
        <v>652</v>
      </c>
      <c r="O634" s="2">
        <v>53</v>
      </c>
      <c r="P634" s="5">
        <v>6.4013840830449822E-2</v>
      </c>
      <c r="R634" t="s">
        <v>652</v>
      </c>
      <c r="S634" s="2">
        <v>3498</v>
      </c>
      <c r="T634" s="2">
        <v>2312</v>
      </c>
    </row>
    <row r="635" spans="14:20" x14ac:dyDescent="0.25">
      <c r="N635" t="s">
        <v>653</v>
      </c>
      <c r="O635" s="2">
        <v>155</v>
      </c>
      <c r="P635" s="5">
        <v>4.6928244572096191E-2</v>
      </c>
      <c r="R635" t="s">
        <v>653</v>
      </c>
      <c r="S635" s="2">
        <v>11898</v>
      </c>
      <c r="T635" s="2">
        <v>10271</v>
      </c>
    </row>
    <row r="636" spans="14:20" x14ac:dyDescent="0.25">
      <c r="N636" t="s">
        <v>654</v>
      </c>
      <c r="O636" s="2">
        <v>20</v>
      </c>
      <c r="P636" s="5">
        <v>3.8090128755364806E-2</v>
      </c>
      <c r="R636" t="s">
        <v>654</v>
      </c>
      <c r="S636" s="2">
        <v>2644</v>
      </c>
      <c r="T636" s="2">
        <v>1864</v>
      </c>
    </row>
    <row r="637" spans="14:20" x14ac:dyDescent="0.25">
      <c r="N637" t="s">
        <v>655</v>
      </c>
      <c r="O637" s="2">
        <v>84</v>
      </c>
      <c r="P637" s="5">
        <v>5.9296097934200459E-2</v>
      </c>
      <c r="R637" t="s">
        <v>655</v>
      </c>
      <c r="S637" s="2">
        <v>16074</v>
      </c>
      <c r="T637" s="2">
        <v>7842</v>
      </c>
    </row>
    <row r="638" spans="14:20" x14ac:dyDescent="0.25">
      <c r="N638" t="s">
        <v>656</v>
      </c>
      <c r="O638" s="2">
        <v>11</v>
      </c>
      <c r="P638" s="5">
        <v>7.6490150933742646E-2</v>
      </c>
      <c r="R638" t="s">
        <v>656</v>
      </c>
      <c r="S638" s="2">
        <v>5607</v>
      </c>
      <c r="T638" s="2">
        <v>3909</v>
      </c>
    </row>
    <row r="639" spans="14:20" x14ac:dyDescent="0.25">
      <c r="N639" t="s">
        <v>657</v>
      </c>
      <c r="O639" s="2">
        <v>5279</v>
      </c>
      <c r="P639" s="5">
        <v>0.15740802532104145</v>
      </c>
      <c r="R639" t="s">
        <v>657</v>
      </c>
      <c r="S639" s="2">
        <v>355683</v>
      </c>
      <c r="T639" s="2">
        <v>209786</v>
      </c>
    </row>
    <row r="640" spans="14:20" x14ac:dyDescent="0.25">
      <c r="N640" t="s">
        <v>658</v>
      </c>
      <c r="O640" s="2">
        <v>120</v>
      </c>
      <c r="P640" s="5">
        <v>5.9408838162130523E-2</v>
      </c>
      <c r="R640" t="s">
        <v>658</v>
      </c>
      <c r="S640" s="2">
        <v>24289</v>
      </c>
      <c r="T640" s="2">
        <v>13668</v>
      </c>
    </row>
    <row r="641" spans="14:20" x14ac:dyDescent="0.25">
      <c r="N641" t="s">
        <v>659</v>
      </c>
      <c r="O641" s="2">
        <v>371</v>
      </c>
      <c r="P641" s="5">
        <v>3.9992247060343711E-2</v>
      </c>
      <c r="R641" t="s">
        <v>659</v>
      </c>
      <c r="S641" s="2">
        <v>47511</v>
      </c>
      <c r="T641" s="2">
        <v>30956</v>
      </c>
    </row>
    <row r="642" spans="14:20" x14ac:dyDescent="0.25">
      <c r="N642" t="s">
        <v>660</v>
      </c>
      <c r="O642" s="2">
        <v>108</v>
      </c>
      <c r="P642" s="5">
        <v>3.2908089301246737E-2</v>
      </c>
      <c r="R642" t="s">
        <v>660</v>
      </c>
      <c r="S642" s="2">
        <v>12122</v>
      </c>
      <c r="T642" s="2">
        <v>6898</v>
      </c>
    </row>
    <row r="643" spans="14:20" x14ac:dyDescent="0.25">
      <c r="N643" t="s">
        <v>661</v>
      </c>
      <c r="O643" s="2">
        <v>471</v>
      </c>
      <c r="P643" s="5">
        <v>0.1592371149625369</v>
      </c>
      <c r="R643" t="s">
        <v>661</v>
      </c>
      <c r="S643" s="2">
        <v>24844</v>
      </c>
      <c r="T643" s="2">
        <v>13213</v>
      </c>
    </row>
    <row r="644" spans="14:20" x14ac:dyDescent="0.25">
      <c r="N644" t="s">
        <v>662</v>
      </c>
      <c r="O644" s="2">
        <v>71</v>
      </c>
      <c r="P644" s="5">
        <v>3.97904145476961E-2</v>
      </c>
      <c r="R644" t="s">
        <v>662</v>
      </c>
      <c r="S644" s="2">
        <v>72162</v>
      </c>
      <c r="T644" s="2">
        <v>32445</v>
      </c>
    </row>
    <row r="645" spans="14:20" x14ac:dyDescent="0.25">
      <c r="N645" t="s">
        <v>663</v>
      </c>
      <c r="O645" s="2">
        <v>75</v>
      </c>
      <c r="P645" s="5">
        <v>2.9285796967241578E-2</v>
      </c>
      <c r="R645" t="s">
        <v>663</v>
      </c>
      <c r="S645" s="2">
        <v>9855</v>
      </c>
      <c r="T645" s="2">
        <v>8639</v>
      </c>
    </row>
    <row r="646" spans="14:20" x14ac:dyDescent="0.25">
      <c r="N646" t="s">
        <v>664</v>
      </c>
      <c r="O646" s="2">
        <v>10</v>
      </c>
      <c r="P646" s="5">
        <v>5.1364365971107544E-2</v>
      </c>
      <c r="R646" t="s">
        <v>664</v>
      </c>
      <c r="S646" s="2">
        <v>1464</v>
      </c>
      <c r="T646" s="2">
        <v>623</v>
      </c>
    </row>
    <row r="647" spans="14:20" x14ac:dyDescent="0.25">
      <c r="N647" t="s">
        <v>665</v>
      </c>
      <c r="O647" s="2">
        <v>160</v>
      </c>
      <c r="P647" s="5">
        <v>9.2787469845820369E-2</v>
      </c>
      <c r="R647" t="s">
        <v>665</v>
      </c>
      <c r="S647" s="2">
        <v>43874</v>
      </c>
      <c r="T647" s="2">
        <v>28603</v>
      </c>
    </row>
    <row r="648" spans="14:20" x14ac:dyDescent="0.25">
      <c r="N648" t="s">
        <v>666</v>
      </c>
      <c r="O648" s="2">
        <v>4943</v>
      </c>
      <c r="P648" s="5">
        <v>9.4388855993014928E-2</v>
      </c>
      <c r="R648" t="s">
        <v>666</v>
      </c>
      <c r="S648" s="2">
        <v>351288</v>
      </c>
      <c r="T648" s="2">
        <v>199282</v>
      </c>
    </row>
    <row r="649" spans="14:20" x14ac:dyDescent="0.25">
      <c r="N649" t="s">
        <v>667</v>
      </c>
      <c r="O649" s="2">
        <v>5</v>
      </c>
      <c r="P649" s="5">
        <v>7.0967741935483872E-2</v>
      </c>
      <c r="R649" t="s">
        <v>667</v>
      </c>
      <c r="S649" s="2">
        <v>1882</v>
      </c>
      <c r="T649" s="2">
        <v>1085</v>
      </c>
    </row>
    <row r="650" spans="14:20" x14ac:dyDescent="0.25">
      <c r="N650" t="s">
        <v>668</v>
      </c>
      <c r="O650" s="2">
        <v>146</v>
      </c>
      <c r="P650" s="5">
        <v>7.7532655048520874E-2</v>
      </c>
      <c r="R650" t="s">
        <v>668</v>
      </c>
      <c r="S650" s="2">
        <v>57041</v>
      </c>
      <c r="T650" s="2">
        <v>29781</v>
      </c>
    </row>
    <row r="651" spans="14:20" x14ac:dyDescent="0.25">
      <c r="N651" t="s">
        <v>669</v>
      </c>
      <c r="O651" s="2">
        <v>92</v>
      </c>
      <c r="P651" s="5">
        <v>3.51728320194057E-2</v>
      </c>
      <c r="R651" t="s">
        <v>669</v>
      </c>
      <c r="S651" s="2">
        <v>8908</v>
      </c>
      <c r="T651" s="2">
        <v>6596</v>
      </c>
    </row>
    <row r="652" spans="14:20" x14ac:dyDescent="0.25">
      <c r="N652" t="s">
        <v>670</v>
      </c>
      <c r="O652" s="2">
        <v>194</v>
      </c>
      <c r="P652" s="5">
        <v>4.8117589960479788E-2</v>
      </c>
      <c r="R652" t="s">
        <v>670</v>
      </c>
      <c r="S652" s="2">
        <v>47214</v>
      </c>
      <c r="T652" s="2">
        <v>28846</v>
      </c>
    </row>
    <row r="653" spans="14:20" x14ac:dyDescent="0.25">
      <c r="N653" t="s">
        <v>671</v>
      </c>
      <c r="O653" s="2">
        <v>24</v>
      </c>
      <c r="P653" s="5">
        <v>3.0850416074690482E-2</v>
      </c>
      <c r="R653" t="s">
        <v>671</v>
      </c>
      <c r="S653" s="2">
        <v>7636</v>
      </c>
      <c r="T653" s="2">
        <v>4927</v>
      </c>
    </row>
    <row r="654" spans="14:20" x14ac:dyDescent="0.25">
      <c r="N654" t="s">
        <v>672</v>
      </c>
      <c r="O654" s="2">
        <v>73</v>
      </c>
      <c r="P654" s="5">
        <v>2.7191842447265819E-2</v>
      </c>
      <c r="R654" t="s">
        <v>672</v>
      </c>
      <c r="S654" s="2">
        <v>11649</v>
      </c>
      <c r="T654" s="2">
        <v>10003</v>
      </c>
    </row>
    <row r="655" spans="14:20" x14ac:dyDescent="0.25">
      <c r="N655" t="s">
        <v>673</v>
      </c>
      <c r="O655" s="2">
        <v>88</v>
      </c>
      <c r="P655" s="5">
        <v>5.006625023660799E-2</v>
      </c>
      <c r="R655" t="s">
        <v>673</v>
      </c>
      <c r="S655" s="2">
        <v>15732</v>
      </c>
      <c r="T655" s="2">
        <v>10566</v>
      </c>
    </row>
    <row r="656" spans="14:20" x14ac:dyDescent="0.25">
      <c r="N656" t="s">
        <v>674</v>
      </c>
      <c r="O656" s="2">
        <v>133</v>
      </c>
      <c r="P656" s="5">
        <v>5.0349922239502333E-2</v>
      </c>
      <c r="R656" t="s">
        <v>674</v>
      </c>
      <c r="S656" s="2">
        <v>30427</v>
      </c>
      <c r="T656" s="2">
        <v>10288</v>
      </c>
    </row>
    <row r="657" spans="14:20" x14ac:dyDescent="0.25">
      <c r="N657" t="s">
        <v>675</v>
      </c>
      <c r="O657" s="2">
        <v>2176</v>
      </c>
      <c r="P657" s="5">
        <v>0.13045719035743975</v>
      </c>
      <c r="R657" t="s">
        <v>675</v>
      </c>
      <c r="S657" s="2">
        <v>165315</v>
      </c>
      <c r="T657" s="2">
        <v>60150</v>
      </c>
    </row>
    <row r="658" spans="14:20" x14ac:dyDescent="0.25">
      <c r="N658" t="s">
        <v>676</v>
      </c>
      <c r="O658" s="2">
        <v>5655</v>
      </c>
      <c r="P658" s="5">
        <v>0.11124260355029586</v>
      </c>
      <c r="R658" t="s">
        <v>676</v>
      </c>
      <c r="S658" s="2">
        <v>400431</v>
      </c>
      <c r="T658" s="2">
        <v>132665</v>
      </c>
    </row>
    <row r="659" spans="14:20" x14ac:dyDescent="0.25">
      <c r="N659" t="s">
        <v>677</v>
      </c>
      <c r="O659" s="2">
        <v>27</v>
      </c>
      <c r="P659" s="5">
        <v>3.0246141009595329E-2</v>
      </c>
      <c r="R659" t="s">
        <v>677</v>
      </c>
      <c r="S659" s="2">
        <v>9511</v>
      </c>
      <c r="T659" s="2">
        <v>4794</v>
      </c>
    </row>
    <row r="660" spans="14:20" x14ac:dyDescent="0.25">
      <c r="N660" t="s">
        <v>678</v>
      </c>
      <c r="O660" s="2">
        <v>67</v>
      </c>
      <c r="P660" s="5">
        <v>6.4935064935064929E-2</v>
      </c>
      <c r="R660" t="s">
        <v>678</v>
      </c>
      <c r="S660" s="2">
        <v>24086</v>
      </c>
      <c r="T660" s="2">
        <v>9779</v>
      </c>
    </row>
    <row r="661" spans="14:20" x14ac:dyDescent="0.25">
      <c r="N661" t="s">
        <v>679</v>
      </c>
      <c r="O661" s="2">
        <v>1588</v>
      </c>
      <c r="P661" s="5">
        <v>7.6735537827703801E-2</v>
      </c>
      <c r="R661" t="s">
        <v>679</v>
      </c>
      <c r="S661" s="2">
        <v>149002</v>
      </c>
      <c r="T661" s="2">
        <v>64807</v>
      </c>
    </row>
    <row r="662" spans="14:20" x14ac:dyDescent="0.25">
      <c r="N662" t="s">
        <v>680</v>
      </c>
      <c r="O662" s="2">
        <v>137</v>
      </c>
      <c r="P662" s="5">
        <v>9.0368915986359405E-2</v>
      </c>
      <c r="R662" t="s">
        <v>680</v>
      </c>
      <c r="S662" s="2">
        <v>28394</v>
      </c>
      <c r="T662" s="2">
        <v>19354</v>
      </c>
    </row>
    <row r="663" spans="14:20" x14ac:dyDescent="0.25">
      <c r="N663" t="s">
        <v>681</v>
      </c>
      <c r="O663" s="2">
        <v>122</v>
      </c>
      <c r="P663" s="5">
        <v>6.668851384564968E-2</v>
      </c>
      <c r="R663" t="s">
        <v>681</v>
      </c>
      <c r="S663" s="2">
        <v>34442</v>
      </c>
      <c r="T663" s="2">
        <v>18309</v>
      </c>
    </row>
    <row r="664" spans="14:20" x14ac:dyDescent="0.25">
      <c r="N664" t="s">
        <v>682</v>
      </c>
      <c r="O664" s="2">
        <v>69</v>
      </c>
      <c r="P664" s="5">
        <v>8.1956456904264841E-2</v>
      </c>
      <c r="R664" t="s">
        <v>682</v>
      </c>
      <c r="S664" s="2">
        <v>36061</v>
      </c>
      <c r="T664" s="2">
        <v>16765</v>
      </c>
    </row>
    <row r="665" spans="14:20" x14ac:dyDescent="0.25">
      <c r="N665" t="s">
        <v>683</v>
      </c>
      <c r="O665" s="2">
        <v>1756</v>
      </c>
      <c r="P665" s="5">
        <v>0.12892162659863832</v>
      </c>
      <c r="R665" t="s">
        <v>683</v>
      </c>
      <c r="S665" s="2">
        <v>376171</v>
      </c>
      <c r="T665" s="2">
        <v>118382</v>
      </c>
    </row>
    <row r="666" spans="14:20" x14ac:dyDescent="0.25">
      <c r="N666" t="s">
        <v>684</v>
      </c>
      <c r="O666" s="2">
        <v>54</v>
      </c>
      <c r="P666" s="5">
        <v>5.6953013763644991E-2</v>
      </c>
      <c r="R666" t="s">
        <v>684</v>
      </c>
      <c r="S666" s="2">
        <v>29184</v>
      </c>
      <c r="T666" s="2">
        <v>14749</v>
      </c>
    </row>
    <row r="667" spans="14:20" x14ac:dyDescent="0.25">
      <c r="N667" t="s">
        <v>685</v>
      </c>
      <c r="O667" s="2">
        <v>1046</v>
      </c>
      <c r="P667" s="5">
        <v>3.2029726276144997E-2</v>
      </c>
      <c r="R667" t="s">
        <v>685</v>
      </c>
      <c r="S667" s="2">
        <v>69393</v>
      </c>
      <c r="T667" s="2">
        <v>59476</v>
      </c>
    </row>
    <row r="668" spans="14:20" x14ac:dyDescent="0.25">
      <c r="N668" t="s">
        <v>686</v>
      </c>
      <c r="O668" s="2">
        <v>96</v>
      </c>
      <c r="P668" s="5">
        <v>7.6934370870650415E-2</v>
      </c>
      <c r="R668" t="s">
        <v>686</v>
      </c>
      <c r="S668" s="2">
        <v>13645</v>
      </c>
      <c r="T668" s="2">
        <v>6811</v>
      </c>
    </row>
    <row r="669" spans="14:20" x14ac:dyDescent="0.25">
      <c r="N669" t="s">
        <v>687</v>
      </c>
      <c r="O669" s="2">
        <v>445</v>
      </c>
      <c r="P669" s="5">
        <v>8.9687324170082794E-2</v>
      </c>
      <c r="R669" t="s">
        <v>687</v>
      </c>
      <c r="S669" s="2">
        <v>81658</v>
      </c>
      <c r="T669" s="2">
        <v>62205</v>
      </c>
    </row>
    <row r="670" spans="14:20" x14ac:dyDescent="0.25">
      <c r="N670" t="s">
        <v>688</v>
      </c>
      <c r="O670" s="2">
        <v>245</v>
      </c>
      <c r="P670" s="5">
        <v>4.6084764455648339E-2</v>
      </c>
      <c r="R670" t="s">
        <v>688</v>
      </c>
      <c r="S670" s="2">
        <v>15327</v>
      </c>
      <c r="T670" s="2">
        <v>12694</v>
      </c>
    </row>
    <row r="671" spans="14:20" x14ac:dyDescent="0.25">
      <c r="N671" t="s">
        <v>689</v>
      </c>
      <c r="O671" s="2">
        <v>3180</v>
      </c>
      <c r="P671" s="5">
        <v>9.2591742487536613E-2</v>
      </c>
      <c r="R671" t="s">
        <v>689</v>
      </c>
      <c r="S671" s="2">
        <v>186198</v>
      </c>
      <c r="T671" s="2">
        <v>108919</v>
      </c>
    </row>
    <row r="672" spans="14:20" x14ac:dyDescent="0.25">
      <c r="N672" t="s">
        <v>690</v>
      </c>
      <c r="O672" s="2">
        <v>4652</v>
      </c>
      <c r="P672" s="5">
        <v>0.13842697055310113</v>
      </c>
      <c r="R672" t="s">
        <v>690</v>
      </c>
      <c r="S672" s="2">
        <v>321812</v>
      </c>
      <c r="T672" s="2">
        <v>105478</v>
      </c>
    </row>
    <row r="673" spans="14:20" x14ac:dyDescent="0.25">
      <c r="N673" t="s">
        <v>691</v>
      </c>
      <c r="O673" s="2">
        <v>139</v>
      </c>
      <c r="P673" s="5">
        <v>3.0774520759907161E-2</v>
      </c>
      <c r="R673" t="s">
        <v>691</v>
      </c>
      <c r="S673" s="2">
        <v>14268</v>
      </c>
      <c r="T673" s="2">
        <v>11633</v>
      </c>
    </row>
    <row r="674" spans="14:20" x14ac:dyDescent="0.25">
      <c r="N674" t="s">
        <v>692</v>
      </c>
      <c r="O674" s="2">
        <v>206</v>
      </c>
      <c r="P674" s="5">
        <v>7.7198261451019726E-2</v>
      </c>
      <c r="R674" t="s">
        <v>692</v>
      </c>
      <c r="S674" s="2">
        <v>47971</v>
      </c>
      <c r="T674" s="2">
        <v>29910</v>
      </c>
    </row>
    <row r="675" spans="14:20" x14ac:dyDescent="0.25">
      <c r="N675" t="s">
        <v>693</v>
      </c>
      <c r="O675" s="2">
        <v>19</v>
      </c>
      <c r="P675" s="5">
        <v>9.3736922862323893E-2</v>
      </c>
      <c r="R675" t="s">
        <v>693</v>
      </c>
      <c r="S675" s="2">
        <v>12818</v>
      </c>
      <c r="T675" s="2">
        <v>7169</v>
      </c>
    </row>
    <row r="676" spans="14:20" x14ac:dyDescent="0.25">
      <c r="N676" t="s">
        <v>694</v>
      </c>
      <c r="O676" s="2">
        <v>38</v>
      </c>
      <c r="P676" s="5">
        <v>6.3413289219740834E-2</v>
      </c>
      <c r="R676" t="s">
        <v>694</v>
      </c>
      <c r="S676" s="2">
        <v>15500</v>
      </c>
      <c r="T676" s="2">
        <v>7254</v>
      </c>
    </row>
    <row r="677" spans="14:20" x14ac:dyDescent="0.25">
      <c r="N677" t="s">
        <v>695</v>
      </c>
      <c r="O677" s="2">
        <v>211</v>
      </c>
      <c r="P677" s="5">
        <v>3.6398396999889705E-2</v>
      </c>
      <c r="R677" t="s">
        <v>695</v>
      </c>
      <c r="S677" s="2">
        <v>52663</v>
      </c>
      <c r="T677" s="2">
        <v>27199</v>
      </c>
    </row>
    <row r="678" spans="14:20" x14ac:dyDescent="0.25">
      <c r="N678" t="s">
        <v>696</v>
      </c>
      <c r="O678" s="2">
        <v>4341</v>
      </c>
      <c r="P678" s="5">
        <v>0.1062821833161689</v>
      </c>
      <c r="R678" t="s">
        <v>696</v>
      </c>
      <c r="S678" s="2">
        <v>173804</v>
      </c>
      <c r="T678" s="2">
        <v>101955</v>
      </c>
    </row>
    <row r="679" spans="14:20" x14ac:dyDescent="0.25">
      <c r="N679" t="s">
        <v>697</v>
      </c>
      <c r="O679" s="2">
        <v>33</v>
      </c>
      <c r="P679" s="5">
        <v>3.8370918882531135E-2</v>
      </c>
      <c r="R679" t="s">
        <v>697</v>
      </c>
      <c r="S679" s="2">
        <v>3759</v>
      </c>
      <c r="T679" s="2">
        <v>2971</v>
      </c>
    </row>
    <row r="680" spans="14:20" x14ac:dyDescent="0.25">
      <c r="N680" t="s">
        <v>698</v>
      </c>
      <c r="O680" s="2">
        <v>826</v>
      </c>
      <c r="P680" s="5">
        <v>3.4196161296002815E-2</v>
      </c>
      <c r="R680" t="s">
        <v>698</v>
      </c>
      <c r="S680" s="2">
        <v>65387</v>
      </c>
      <c r="T680" s="2">
        <v>56790</v>
      </c>
    </row>
    <row r="681" spans="14:20" x14ac:dyDescent="0.25">
      <c r="N681" t="s">
        <v>699</v>
      </c>
      <c r="O681" s="2">
        <v>47</v>
      </c>
      <c r="P681" s="5">
        <v>6.4564770390678553E-2</v>
      </c>
      <c r="R681" t="s">
        <v>699</v>
      </c>
      <c r="S681" s="2">
        <v>17581</v>
      </c>
      <c r="T681" s="2">
        <v>7295</v>
      </c>
    </row>
    <row r="682" spans="14:20" x14ac:dyDescent="0.25">
      <c r="N682" t="s">
        <v>700</v>
      </c>
      <c r="O682" s="2">
        <v>221</v>
      </c>
      <c r="P682" s="5">
        <v>5.6647899523603294E-2</v>
      </c>
      <c r="R682" t="s">
        <v>700</v>
      </c>
      <c r="S682" s="2">
        <v>39451</v>
      </c>
      <c r="T682" s="2">
        <v>23090</v>
      </c>
    </row>
    <row r="683" spans="14:20" x14ac:dyDescent="0.25">
      <c r="N683" t="s">
        <v>701</v>
      </c>
      <c r="O683" s="2">
        <v>205</v>
      </c>
      <c r="P683" s="5">
        <v>9.1414494490495685E-2</v>
      </c>
      <c r="R683" t="s">
        <v>701</v>
      </c>
      <c r="S683" s="2">
        <v>49080</v>
      </c>
      <c r="T683" s="2">
        <v>30039</v>
      </c>
    </row>
    <row r="684" spans="14:20" x14ac:dyDescent="0.25">
      <c r="N684" t="s">
        <v>702</v>
      </c>
      <c r="O684" s="2">
        <v>54</v>
      </c>
      <c r="P684" s="5">
        <v>4.9349442379182158E-2</v>
      </c>
      <c r="R684" t="s">
        <v>702</v>
      </c>
      <c r="S684" s="2">
        <v>15266</v>
      </c>
      <c r="T684" s="2">
        <v>10760</v>
      </c>
    </row>
    <row r="685" spans="14:20" x14ac:dyDescent="0.25">
      <c r="N685" t="s">
        <v>703</v>
      </c>
      <c r="O685" s="2">
        <v>55</v>
      </c>
      <c r="P685" s="5">
        <v>3.7188672807915386E-2</v>
      </c>
      <c r="R685" t="s">
        <v>703</v>
      </c>
      <c r="S685" s="2">
        <v>4895</v>
      </c>
      <c r="T685" s="2">
        <v>2931</v>
      </c>
    </row>
    <row r="686" spans="14:20" x14ac:dyDescent="0.25">
      <c r="N686" t="s">
        <v>704</v>
      </c>
      <c r="O686" s="2">
        <v>148</v>
      </c>
      <c r="P686" s="5">
        <v>8.8796442404246168E-2</v>
      </c>
      <c r="R686" t="s">
        <v>704</v>
      </c>
      <c r="S686" s="2">
        <v>71625</v>
      </c>
      <c r="T686" s="2">
        <v>34855</v>
      </c>
    </row>
    <row r="687" spans="14:20" x14ac:dyDescent="0.25">
      <c r="N687" t="s">
        <v>705</v>
      </c>
      <c r="O687" s="2">
        <v>55</v>
      </c>
      <c r="P687" s="5">
        <v>6.6934788853777655E-2</v>
      </c>
      <c r="R687" t="s">
        <v>705</v>
      </c>
      <c r="S687" s="2">
        <v>18738</v>
      </c>
      <c r="T687" s="2">
        <v>10443</v>
      </c>
    </row>
    <row r="688" spans="14:20" x14ac:dyDescent="0.25">
      <c r="N688" t="s">
        <v>706</v>
      </c>
      <c r="O688" s="2">
        <v>7</v>
      </c>
      <c r="P688" s="5">
        <v>1.8358531317494601E-2</v>
      </c>
      <c r="R688" t="s">
        <v>706</v>
      </c>
      <c r="S688" s="2">
        <v>2570</v>
      </c>
      <c r="T688" s="2">
        <v>1852</v>
      </c>
    </row>
    <row r="689" spans="14:20" x14ac:dyDescent="0.25">
      <c r="N689" t="s">
        <v>707</v>
      </c>
      <c r="O689" s="2">
        <v>1705</v>
      </c>
      <c r="P689" s="5">
        <v>0.11260752598890697</v>
      </c>
      <c r="R689" t="s">
        <v>707</v>
      </c>
      <c r="S689" s="2">
        <v>136086</v>
      </c>
      <c r="T689" s="2">
        <v>60218</v>
      </c>
    </row>
    <row r="690" spans="14:20" x14ac:dyDescent="0.25">
      <c r="N690" t="s">
        <v>708</v>
      </c>
      <c r="O690" s="2">
        <v>144</v>
      </c>
      <c r="P690" s="5">
        <v>6.9122956041622427E-2</v>
      </c>
      <c r="R690" t="s">
        <v>708</v>
      </c>
      <c r="S690" s="2">
        <v>34283</v>
      </c>
      <c r="T690" s="2">
        <v>18836</v>
      </c>
    </row>
    <row r="691" spans="14:20" x14ac:dyDescent="0.25">
      <c r="N691" t="s">
        <v>709</v>
      </c>
      <c r="O691" s="2">
        <v>6</v>
      </c>
      <c r="P691" s="5">
        <v>4.4159544159544158E-2</v>
      </c>
      <c r="R691" t="s">
        <v>709</v>
      </c>
      <c r="S691" s="2">
        <v>1615</v>
      </c>
      <c r="T691" s="2">
        <v>702</v>
      </c>
    </row>
    <row r="692" spans="14:20" x14ac:dyDescent="0.25">
      <c r="N692" t="s">
        <v>710</v>
      </c>
      <c r="O692" s="2">
        <v>232</v>
      </c>
      <c r="P692" s="5">
        <v>5.7762155828939662E-2</v>
      </c>
      <c r="R692" t="s">
        <v>710</v>
      </c>
      <c r="S692" s="2">
        <v>30298</v>
      </c>
      <c r="T692" s="2">
        <v>17070</v>
      </c>
    </row>
    <row r="693" spans="14:20" x14ac:dyDescent="0.25">
      <c r="N693" t="s">
        <v>711</v>
      </c>
      <c r="O693" s="2">
        <v>104</v>
      </c>
      <c r="P693" s="5">
        <v>6.6547010907082704E-2</v>
      </c>
      <c r="R693" t="s">
        <v>711</v>
      </c>
      <c r="S693" s="2">
        <v>16740</v>
      </c>
      <c r="T693" s="2">
        <v>7243</v>
      </c>
    </row>
    <row r="694" spans="14:20" x14ac:dyDescent="0.25">
      <c r="N694" t="s">
        <v>712</v>
      </c>
      <c r="O694" s="2">
        <v>17</v>
      </c>
      <c r="P694" s="5">
        <v>4.5518155704500254E-2</v>
      </c>
      <c r="R694" t="s">
        <v>712</v>
      </c>
      <c r="S694" s="2">
        <v>25252</v>
      </c>
      <c r="T694" s="2">
        <v>13577</v>
      </c>
    </row>
    <row r="695" spans="14:20" x14ac:dyDescent="0.25">
      <c r="N695" t="s">
        <v>713</v>
      </c>
      <c r="O695" s="2">
        <v>194</v>
      </c>
      <c r="P695" s="5">
        <v>7.4203166337714691E-2</v>
      </c>
      <c r="R695" t="s">
        <v>713</v>
      </c>
      <c r="S695" s="2">
        <v>30617</v>
      </c>
      <c r="T695" s="2">
        <v>23813</v>
      </c>
    </row>
    <row r="696" spans="14:20" x14ac:dyDescent="0.25">
      <c r="N696" t="s">
        <v>714</v>
      </c>
      <c r="O696" s="2">
        <v>101</v>
      </c>
      <c r="P696" s="5">
        <v>9.4792276184903448E-2</v>
      </c>
      <c r="R696" t="s">
        <v>714</v>
      </c>
      <c r="S696" s="2">
        <v>5867</v>
      </c>
      <c r="T696" s="2">
        <v>3418</v>
      </c>
    </row>
    <row r="697" spans="14:20" x14ac:dyDescent="0.25">
      <c r="N697" t="s">
        <v>715</v>
      </c>
      <c r="O697" s="2">
        <v>167</v>
      </c>
      <c r="P697" s="5">
        <v>5.504703788456649E-2</v>
      </c>
      <c r="R697" t="s">
        <v>715</v>
      </c>
      <c r="S697" s="2">
        <v>12837</v>
      </c>
      <c r="T697" s="2">
        <v>7866</v>
      </c>
    </row>
    <row r="698" spans="14:20" x14ac:dyDescent="0.25">
      <c r="N698" t="s">
        <v>716</v>
      </c>
      <c r="O698" s="2">
        <v>177</v>
      </c>
      <c r="P698" s="5">
        <v>2.1893814997263273E-2</v>
      </c>
      <c r="R698" t="s">
        <v>716</v>
      </c>
      <c r="S698" s="2">
        <v>19532</v>
      </c>
      <c r="T698" s="2">
        <v>16443</v>
      </c>
    </row>
    <row r="699" spans="14:20" x14ac:dyDescent="0.25">
      <c r="N699" t="s">
        <v>717</v>
      </c>
      <c r="O699" s="2">
        <v>136</v>
      </c>
      <c r="P699" s="5">
        <v>4.4555061406014118E-2</v>
      </c>
      <c r="R699" t="s">
        <v>717</v>
      </c>
      <c r="S699" s="2">
        <v>36021</v>
      </c>
      <c r="T699" s="2">
        <v>24509</v>
      </c>
    </row>
    <row r="700" spans="14:20" x14ac:dyDescent="0.25">
      <c r="N700" t="s">
        <v>718</v>
      </c>
      <c r="O700" s="2">
        <v>2718</v>
      </c>
      <c r="P700" s="5">
        <v>5.8134519276534985E-2</v>
      </c>
      <c r="R700" t="s">
        <v>718</v>
      </c>
      <c r="S700" s="2">
        <v>516709</v>
      </c>
      <c r="T700" s="2">
        <v>268928</v>
      </c>
    </row>
    <row r="701" spans="14:20" x14ac:dyDescent="0.25">
      <c r="N701" t="s">
        <v>719</v>
      </c>
      <c r="O701" s="2">
        <v>14</v>
      </c>
      <c r="P701" s="5">
        <v>6.3781321184510256E-2</v>
      </c>
      <c r="R701" t="s">
        <v>719</v>
      </c>
      <c r="S701" s="2">
        <v>1750</v>
      </c>
      <c r="T701" s="2">
        <v>1317</v>
      </c>
    </row>
    <row r="702" spans="14:20" x14ac:dyDescent="0.25">
      <c r="N702" t="s">
        <v>720</v>
      </c>
      <c r="O702" s="2">
        <v>2101</v>
      </c>
      <c r="P702" s="5">
        <v>0.16055401157228119</v>
      </c>
      <c r="R702" t="s">
        <v>720</v>
      </c>
      <c r="S702" s="2">
        <v>106828</v>
      </c>
      <c r="T702" s="2">
        <v>43898</v>
      </c>
    </row>
    <row r="703" spans="14:20" x14ac:dyDescent="0.25">
      <c r="N703" t="s">
        <v>721</v>
      </c>
      <c r="O703" s="2">
        <v>1317</v>
      </c>
      <c r="P703" s="5">
        <v>0.18367803242034655</v>
      </c>
      <c r="R703" t="s">
        <v>721</v>
      </c>
      <c r="S703" s="2">
        <v>49124</v>
      </c>
      <c r="T703" s="2">
        <v>26835</v>
      </c>
    </row>
    <row r="704" spans="14:20" x14ac:dyDescent="0.25">
      <c r="N704" t="s">
        <v>722</v>
      </c>
      <c r="O704" s="2">
        <v>15</v>
      </c>
      <c r="P704" s="5">
        <v>4.0596883914856267E-2</v>
      </c>
      <c r="R704" t="s">
        <v>722</v>
      </c>
      <c r="S704" s="2">
        <v>6463</v>
      </c>
      <c r="T704" s="2">
        <v>4557</v>
      </c>
    </row>
    <row r="705" spans="14:20" x14ac:dyDescent="0.25">
      <c r="N705" t="s">
        <v>723</v>
      </c>
      <c r="O705" s="2">
        <v>91</v>
      </c>
      <c r="P705" s="5">
        <v>2.6627529091099698E-2</v>
      </c>
      <c r="R705" t="s">
        <v>723</v>
      </c>
      <c r="S705" s="2">
        <v>11643</v>
      </c>
      <c r="T705" s="2">
        <v>9539</v>
      </c>
    </row>
    <row r="706" spans="14:20" x14ac:dyDescent="0.25">
      <c r="N706" t="s">
        <v>724</v>
      </c>
      <c r="O706" s="2">
        <v>16</v>
      </c>
      <c r="P706" s="5">
        <v>5.831939799331104E-2</v>
      </c>
      <c r="R706" t="s">
        <v>724</v>
      </c>
      <c r="S706" s="2">
        <v>9622</v>
      </c>
      <c r="T706" s="2">
        <v>4784</v>
      </c>
    </row>
    <row r="707" spans="14:20" x14ac:dyDescent="0.25">
      <c r="N707" t="s">
        <v>725</v>
      </c>
      <c r="O707" s="2">
        <v>12</v>
      </c>
      <c r="P707" s="5">
        <v>4.5925925925925926E-2</v>
      </c>
      <c r="R707" t="s">
        <v>725</v>
      </c>
      <c r="S707" s="2">
        <v>768</v>
      </c>
      <c r="T707" s="2">
        <v>675</v>
      </c>
    </row>
    <row r="708" spans="14:20" x14ac:dyDescent="0.25">
      <c r="N708" t="s">
        <v>726</v>
      </c>
      <c r="O708" s="2">
        <v>48</v>
      </c>
      <c r="P708" s="5">
        <v>5.6150430921911729E-2</v>
      </c>
      <c r="R708" t="s">
        <v>726</v>
      </c>
      <c r="S708" s="2">
        <v>5498</v>
      </c>
      <c r="T708" s="2">
        <v>3829</v>
      </c>
    </row>
    <row r="709" spans="14:20" x14ac:dyDescent="0.25">
      <c r="N709" t="s">
        <v>727</v>
      </c>
      <c r="O709" s="2">
        <v>88</v>
      </c>
      <c r="P709" s="5">
        <v>6.6499797050466783E-2</v>
      </c>
      <c r="R709" t="s">
        <v>727</v>
      </c>
      <c r="S709" s="2">
        <v>97696</v>
      </c>
      <c r="T709" s="2">
        <v>44346</v>
      </c>
    </row>
    <row r="710" spans="14:20" x14ac:dyDescent="0.25">
      <c r="N710" t="s">
        <v>728</v>
      </c>
      <c r="O710" s="2">
        <v>295</v>
      </c>
      <c r="P710" s="5">
        <v>3.1956570405193639E-2</v>
      </c>
      <c r="R710" t="s">
        <v>728</v>
      </c>
      <c r="S710" s="2">
        <v>20572</v>
      </c>
      <c r="T710" s="2">
        <v>17868</v>
      </c>
    </row>
    <row r="711" spans="14:20" x14ac:dyDescent="0.25">
      <c r="N711" t="s">
        <v>729</v>
      </c>
      <c r="O711" s="2">
        <v>145</v>
      </c>
      <c r="P711" s="5">
        <v>4.8952835007662183E-2</v>
      </c>
      <c r="R711" t="s">
        <v>729</v>
      </c>
      <c r="S711" s="2">
        <v>28247</v>
      </c>
      <c r="T711" s="2">
        <v>11746</v>
      </c>
    </row>
    <row r="712" spans="14:20" x14ac:dyDescent="0.25">
      <c r="N712" t="s">
        <v>730</v>
      </c>
      <c r="O712" s="2">
        <v>135</v>
      </c>
      <c r="P712" s="5">
        <v>7.6563876651982374E-2</v>
      </c>
      <c r="R712" t="s">
        <v>730</v>
      </c>
      <c r="S712" s="2">
        <v>74167</v>
      </c>
      <c r="T712" s="2">
        <v>45400</v>
      </c>
    </row>
    <row r="713" spans="14:20" x14ac:dyDescent="0.25">
      <c r="N713" t="s">
        <v>731</v>
      </c>
      <c r="O713" s="2">
        <v>100</v>
      </c>
      <c r="P713" s="5">
        <v>3.453947368421053E-2</v>
      </c>
      <c r="R713" t="s">
        <v>731</v>
      </c>
      <c r="S713" s="2">
        <v>36474</v>
      </c>
      <c r="T713" s="2">
        <v>26752</v>
      </c>
    </row>
    <row r="714" spans="14:20" x14ac:dyDescent="0.25">
      <c r="N714" t="s">
        <v>732</v>
      </c>
      <c r="O714" s="2">
        <v>213</v>
      </c>
      <c r="P714" s="5">
        <v>6.1395005308590683E-2</v>
      </c>
      <c r="R714" t="s">
        <v>732</v>
      </c>
      <c r="S714" s="2">
        <v>52019</v>
      </c>
      <c r="T714" s="2">
        <v>21663</v>
      </c>
    </row>
    <row r="715" spans="14:20" x14ac:dyDescent="0.25">
      <c r="N715" t="s">
        <v>733</v>
      </c>
      <c r="O715" s="2">
        <v>43</v>
      </c>
      <c r="P715" s="5">
        <v>1.3577606249418768E-2</v>
      </c>
      <c r="R715" t="s">
        <v>733</v>
      </c>
      <c r="S715" s="2">
        <v>13851</v>
      </c>
      <c r="T715" s="2">
        <v>10753</v>
      </c>
    </row>
    <row r="716" spans="14:20" x14ac:dyDescent="0.25">
      <c r="N716" t="s">
        <v>734</v>
      </c>
      <c r="O716" s="2">
        <v>17</v>
      </c>
      <c r="P716" s="5">
        <v>5.7584873227331329E-2</v>
      </c>
      <c r="R716" t="s">
        <v>734</v>
      </c>
      <c r="S716" s="2">
        <v>4210</v>
      </c>
      <c r="T716" s="2">
        <v>2327</v>
      </c>
    </row>
    <row r="717" spans="14:20" x14ac:dyDescent="0.25">
      <c r="N717" t="s">
        <v>735</v>
      </c>
      <c r="O717" s="2">
        <v>76</v>
      </c>
      <c r="P717" s="5">
        <v>3.5558966487592734E-2</v>
      </c>
      <c r="R717" t="s">
        <v>735</v>
      </c>
      <c r="S717" s="2">
        <v>8714</v>
      </c>
      <c r="T717" s="2">
        <v>7818</v>
      </c>
    </row>
    <row r="718" spans="14:20" x14ac:dyDescent="0.25">
      <c r="N718" t="s">
        <v>736</v>
      </c>
      <c r="O718" s="2">
        <v>156</v>
      </c>
      <c r="P718" s="5">
        <v>8.3600999286224123E-2</v>
      </c>
      <c r="R718" t="s">
        <v>736</v>
      </c>
      <c r="S718" s="2">
        <v>18489</v>
      </c>
      <c r="T718" s="2">
        <v>11208</v>
      </c>
    </row>
    <row r="719" spans="14:20" x14ac:dyDescent="0.25">
      <c r="N719" t="s">
        <v>737</v>
      </c>
      <c r="O719" s="2">
        <v>18</v>
      </c>
      <c r="P719" s="5">
        <v>7.5889328063241113E-2</v>
      </c>
      <c r="R719" t="s">
        <v>737</v>
      </c>
      <c r="S719" s="2">
        <v>8150</v>
      </c>
      <c r="T719" s="2">
        <v>3795</v>
      </c>
    </row>
    <row r="720" spans="14:20" x14ac:dyDescent="0.25">
      <c r="N720" t="s">
        <v>738</v>
      </c>
      <c r="O720" s="2">
        <v>388</v>
      </c>
      <c r="P720" s="5">
        <v>3.1476666210483097E-2</v>
      </c>
      <c r="R720" t="s">
        <v>738</v>
      </c>
      <c r="S720" s="2">
        <v>38223</v>
      </c>
      <c r="T720" s="2">
        <v>21921</v>
      </c>
    </row>
    <row r="721" spans="14:20" x14ac:dyDescent="0.25">
      <c r="N721" t="s">
        <v>739</v>
      </c>
      <c r="O721" s="2">
        <v>169</v>
      </c>
      <c r="P721" s="5">
        <v>4.8875432525951557E-2</v>
      </c>
      <c r="R721" t="s">
        <v>739</v>
      </c>
      <c r="S721" s="2">
        <v>32977</v>
      </c>
      <c r="T721" s="2">
        <v>11560</v>
      </c>
    </row>
    <row r="722" spans="14:20" x14ac:dyDescent="0.25">
      <c r="N722" t="s">
        <v>740</v>
      </c>
      <c r="O722" s="2">
        <v>445</v>
      </c>
      <c r="P722" s="5">
        <v>4.7231543624161071E-2</v>
      </c>
      <c r="R722" t="s">
        <v>740</v>
      </c>
      <c r="S722" s="2">
        <v>57675</v>
      </c>
      <c r="T722" s="2">
        <v>35760</v>
      </c>
    </row>
    <row r="723" spans="14:20" x14ac:dyDescent="0.25">
      <c r="N723" t="s">
        <v>741</v>
      </c>
      <c r="O723" s="2">
        <v>69</v>
      </c>
      <c r="P723" s="5">
        <v>5.7999636202998729E-2</v>
      </c>
      <c r="R723" t="s">
        <v>741</v>
      </c>
      <c r="S723" s="2">
        <v>87852</v>
      </c>
      <c r="T723" s="2">
        <v>38483</v>
      </c>
    </row>
    <row r="724" spans="14:20" x14ac:dyDescent="0.25">
      <c r="N724" t="s">
        <v>742</v>
      </c>
      <c r="O724" s="2">
        <v>23</v>
      </c>
      <c r="P724" s="5">
        <v>3.9173405211141057E-2</v>
      </c>
      <c r="R724" t="s">
        <v>742</v>
      </c>
      <c r="S724" s="2">
        <v>10551</v>
      </c>
      <c r="T724" s="2">
        <v>5565</v>
      </c>
    </row>
    <row r="725" spans="14:20" x14ac:dyDescent="0.25">
      <c r="N725" t="s">
        <v>743</v>
      </c>
      <c r="O725" s="2">
        <v>105</v>
      </c>
      <c r="P725" s="5">
        <v>3.6071753542181201E-2</v>
      </c>
      <c r="R725" t="s">
        <v>743</v>
      </c>
      <c r="S725" s="2">
        <v>29314</v>
      </c>
      <c r="T725" s="2">
        <v>15386</v>
      </c>
    </row>
    <row r="726" spans="14:20" x14ac:dyDescent="0.25">
      <c r="N726" t="s">
        <v>744</v>
      </c>
      <c r="O726" s="2">
        <v>519</v>
      </c>
      <c r="P726" s="5">
        <v>9.0700489638101428E-2</v>
      </c>
      <c r="R726" t="s">
        <v>744</v>
      </c>
      <c r="S726" s="2">
        <v>74816</v>
      </c>
      <c r="T726" s="2">
        <v>55347</v>
      </c>
    </row>
    <row r="727" spans="14:20" x14ac:dyDescent="0.25">
      <c r="N727" t="s">
        <v>745</v>
      </c>
      <c r="O727" s="2">
        <v>17</v>
      </c>
      <c r="P727" s="5">
        <v>7.7720997635573177E-2</v>
      </c>
      <c r="R727" t="s">
        <v>745</v>
      </c>
      <c r="S727" s="2">
        <v>18345</v>
      </c>
      <c r="T727" s="2">
        <v>13111</v>
      </c>
    </row>
    <row r="728" spans="14:20" x14ac:dyDescent="0.25">
      <c r="N728" t="s">
        <v>746</v>
      </c>
      <c r="O728" s="2">
        <v>2444</v>
      </c>
      <c r="P728" s="5">
        <v>0.11683891004158406</v>
      </c>
      <c r="R728" t="s">
        <v>746</v>
      </c>
      <c r="S728" s="2">
        <v>84679</v>
      </c>
      <c r="T728" s="2">
        <v>56993</v>
      </c>
    </row>
    <row r="729" spans="14:20" x14ac:dyDescent="0.25">
      <c r="N729" t="s">
        <v>747</v>
      </c>
      <c r="O729" s="2">
        <v>58</v>
      </c>
      <c r="P729" s="5">
        <v>8.3365372292707934E-2</v>
      </c>
      <c r="R729" t="s">
        <v>747</v>
      </c>
      <c r="S729" s="2">
        <v>29143</v>
      </c>
      <c r="T729" s="2">
        <v>15606</v>
      </c>
    </row>
    <row r="730" spans="14:20" x14ac:dyDescent="0.25">
      <c r="N730" t="s">
        <v>748</v>
      </c>
      <c r="O730" s="2">
        <v>474</v>
      </c>
      <c r="P730" s="5">
        <v>5.6229716382108087E-2</v>
      </c>
      <c r="R730" t="s">
        <v>748</v>
      </c>
      <c r="S730" s="2">
        <v>45375</v>
      </c>
      <c r="T730" s="2">
        <v>28348</v>
      </c>
    </row>
    <row r="731" spans="14:20" x14ac:dyDescent="0.25">
      <c r="N731" t="s">
        <v>749</v>
      </c>
      <c r="O731" s="2">
        <v>141</v>
      </c>
      <c r="P731" s="5">
        <v>3.0942477427209091E-2</v>
      </c>
      <c r="R731" t="s">
        <v>749</v>
      </c>
      <c r="S731" s="2">
        <v>13665</v>
      </c>
      <c r="T731" s="2">
        <v>9857</v>
      </c>
    </row>
    <row r="732" spans="14:20" x14ac:dyDescent="0.25">
      <c r="N732" t="s">
        <v>750</v>
      </c>
      <c r="O732" s="2">
        <v>2589</v>
      </c>
      <c r="P732" s="5">
        <v>0.1059857367985256</v>
      </c>
      <c r="R732" t="s">
        <v>750</v>
      </c>
      <c r="S732" s="2">
        <v>354002</v>
      </c>
      <c r="T732" s="2">
        <v>187195</v>
      </c>
    </row>
    <row r="733" spans="14:20" x14ac:dyDescent="0.25">
      <c r="N733" t="s">
        <v>751</v>
      </c>
      <c r="O733" s="2">
        <v>10832</v>
      </c>
      <c r="P733" s="5">
        <v>9.2349242003784512E-2</v>
      </c>
      <c r="R733" t="s">
        <v>751</v>
      </c>
      <c r="S733" s="2">
        <v>500863</v>
      </c>
      <c r="T733" s="2">
        <v>228827</v>
      </c>
    </row>
    <row r="734" spans="14:20" x14ac:dyDescent="0.25">
      <c r="N734" t="s">
        <v>752</v>
      </c>
      <c r="O734" s="2">
        <v>203</v>
      </c>
      <c r="P734" s="5">
        <v>3.7610619469026552E-2</v>
      </c>
      <c r="R734" t="s">
        <v>752</v>
      </c>
      <c r="S734" s="2">
        <v>23524</v>
      </c>
      <c r="T734" s="2">
        <v>15820</v>
      </c>
    </row>
    <row r="735" spans="14:20" x14ac:dyDescent="0.25">
      <c r="N735" t="s">
        <v>753</v>
      </c>
      <c r="O735" s="2">
        <v>9574</v>
      </c>
      <c r="P735" s="5">
        <v>0.13157207129967582</v>
      </c>
      <c r="R735" t="s">
        <v>753</v>
      </c>
      <c r="S735" s="2">
        <v>379546</v>
      </c>
      <c r="T735" s="2">
        <v>244938</v>
      </c>
    </row>
    <row r="736" spans="14:20" x14ac:dyDescent="0.25">
      <c r="N736" t="s">
        <v>754</v>
      </c>
      <c r="O736" s="2">
        <v>2192</v>
      </c>
      <c r="P736" s="5">
        <v>0.10243389949220802</v>
      </c>
      <c r="R736" t="s">
        <v>754</v>
      </c>
      <c r="S736" s="2">
        <v>175978</v>
      </c>
      <c r="T736" s="2">
        <v>102798</v>
      </c>
    </row>
    <row r="737" spans="14:20" x14ac:dyDescent="0.25">
      <c r="N737" t="s">
        <v>755</v>
      </c>
      <c r="O737" s="2">
        <v>51</v>
      </c>
      <c r="P737" s="5">
        <v>7.0121092649957764E-2</v>
      </c>
      <c r="R737" t="s">
        <v>755</v>
      </c>
      <c r="S737" s="2">
        <v>17851</v>
      </c>
      <c r="T737" s="2">
        <v>10653</v>
      </c>
    </row>
    <row r="738" spans="14:20" x14ac:dyDescent="0.25">
      <c r="N738" t="s">
        <v>756</v>
      </c>
      <c r="O738" s="2">
        <v>55</v>
      </c>
      <c r="P738" s="5">
        <v>8.4063950489943265E-2</v>
      </c>
      <c r="R738" t="s">
        <v>756</v>
      </c>
      <c r="S738" s="2">
        <v>3182</v>
      </c>
      <c r="T738" s="2">
        <v>1939</v>
      </c>
    </row>
    <row r="739" spans="14:20" x14ac:dyDescent="0.25">
      <c r="N739" t="s">
        <v>757</v>
      </c>
      <c r="O739" s="2">
        <v>37</v>
      </c>
      <c r="P739" s="5">
        <v>6.5882245215639595E-2</v>
      </c>
      <c r="R739" t="s">
        <v>757</v>
      </c>
      <c r="S739" s="2">
        <v>44248</v>
      </c>
      <c r="T739" s="2">
        <v>21842</v>
      </c>
    </row>
    <row r="740" spans="14:20" x14ac:dyDescent="0.25">
      <c r="N740" t="s">
        <v>758</v>
      </c>
      <c r="O740" s="2">
        <v>161</v>
      </c>
      <c r="P740" s="5">
        <v>3.2550791726367607E-2</v>
      </c>
      <c r="R740" t="s">
        <v>758</v>
      </c>
      <c r="S740" s="2">
        <v>45960</v>
      </c>
      <c r="T740" s="2">
        <v>27219</v>
      </c>
    </row>
    <row r="741" spans="14:20" x14ac:dyDescent="0.25">
      <c r="N741" t="s">
        <v>759</v>
      </c>
      <c r="O741" s="2">
        <v>185</v>
      </c>
      <c r="P741" s="5">
        <v>6.2434643538168175E-2</v>
      </c>
      <c r="R741" t="s">
        <v>759</v>
      </c>
      <c r="S741" s="2">
        <v>63176</v>
      </c>
      <c r="T741" s="2">
        <v>32514</v>
      </c>
    </row>
    <row r="742" spans="14:20" x14ac:dyDescent="0.25">
      <c r="N742" t="s">
        <v>760</v>
      </c>
      <c r="O742" s="2">
        <v>16</v>
      </c>
      <c r="P742" s="5">
        <v>6.0401310401310401E-2</v>
      </c>
      <c r="R742" t="s">
        <v>760</v>
      </c>
      <c r="S742" s="2">
        <v>8474</v>
      </c>
      <c r="T742" s="2">
        <v>4884</v>
      </c>
    </row>
    <row r="743" spans="14:20" x14ac:dyDescent="0.25">
      <c r="N743" t="s">
        <v>761</v>
      </c>
      <c r="O743" s="2">
        <v>101</v>
      </c>
      <c r="P743" s="5">
        <v>2.299298519095869E-2</v>
      </c>
      <c r="R743" t="s">
        <v>761</v>
      </c>
      <c r="S743" s="2">
        <v>24643</v>
      </c>
      <c r="T743" s="2">
        <v>12830</v>
      </c>
    </row>
    <row r="744" spans="14:20" x14ac:dyDescent="0.25">
      <c r="N744" t="s">
        <v>762</v>
      </c>
      <c r="O744" s="2">
        <v>23</v>
      </c>
      <c r="P744" s="5">
        <v>1.3555787278415016E-2</v>
      </c>
      <c r="R744" t="s">
        <v>762</v>
      </c>
      <c r="S744" s="2">
        <v>18893</v>
      </c>
      <c r="T744" s="2">
        <v>11508</v>
      </c>
    </row>
    <row r="745" spans="14:20" x14ac:dyDescent="0.25">
      <c r="N745" t="s">
        <v>763</v>
      </c>
      <c r="O745" s="2">
        <v>166</v>
      </c>
      <c r="P745" s="5">
        <v>3.6798007246376808E-2</v>
      </c>
      <c r="R745" t="s">
        <v>763</v>
      </c>
      <c r="S745" s="2">
        <v>16687</v>
      </c>
      <c r="T745" s="2">
        <v>8832</v>
      </c>
    </row>
    <row r="746" spans="14:20" x14ac:dyDescent="0.25">
      <c r="N746" t="s">
        <v>764</v>
      </c>
      <c r="O746" s="2">
        <v>12</v>
      </c>
      <c r="P746" s="5">
        <v>6.8466353677621286E-2</v>
      </c>
      <c r="R746" t="s">
        <v>764</v>
      </c>
      <c r="S746" s="2">
        <v>6126</v>
      </c>
      <c r="T746" s="2">
        <v>2556</v>
      </c>
    </row>
    <row r="747" spans="14:20" x14ac:dyDescent="0.25">
      <c r="N747" t="s">
        <v>765</v>
      </c>
      <c r="O747" s="2">
        <v>1108</v>
      </c>
      <c r="P747" s="5">
        <v>8.1091260418884176E-2</v>
      </c>
      <c r="R747" t="s">
        <v>765</v>
      </c>
      <c r="S747" s="2">
        <v>153582</v>
      </c>
      <c r="T747" s="2">
        <v>61067</v>
      </c>
    </row>
    <row r="748" spans="14:20" x14ac:dyDescent="0.25">
      <c r="N748" t="s">
        <v>766</v>
      </c>
      <c r="O748" s="2">
        <v>403</v>
      </c>
      <c r="P748" s="5">
        <v>3.0961250060471193E-2</v>
      </c>
      <c r="R748" t="s">
        <v>766</v>
      </c>
      <c r="S748" s="2">
        <v>33166</v>
      </c>
      <c r="T748" s="2">
        <v>20671</v>
      </c>
    </row>
    <row r="749" spans="14:20" x14ac:dyDescent="0.25">
      <c r="N749" t="s">
        <v>767</v>
      </c>
      <c r="O749" s="2">
        <v>17</v>
      </c>
      <c r="P749" s="5">
        <v>8.1761006289308172E-2</v>
      </c>
      <c r="R749" t="s">
        <v>767</v>
      </c>
      <c r="S749" s="2">
        <v>958</v>
      </c>
      <c r="T749" s="2">
        <v>636</v>
      </c>
    </row>
    <row r="750" spans="14:20" x14ac:dyDescent="0.25">
      <c r="N750" t="s">
        <v>768</v>
      </c>
      <c r="O750" s="2">
        <v>454</v>
      </c>
      <c r="P750" s="5">
        <v>7.5443294721663209E-2</v>
      </c>
      <c r="R750" t="s">
        <v>768</v>
      </c>
      <c r="S750" s="2">
        <v>113024</v>
      </c>
      <c r="T750" s="2">
        <v>63107</v>
      </c>
    </row>
    <row r="751" spans="14:20" x14ac:dyDescent="0.25">
      <c r="N751" t="s">
        <v>769</v>
      </c>
      <c r="O751" s="2">
        <v>195</v>
      </c>
      <c r="P751" s="5">
        <v>7.0331368949859918E-2</v>
      </c>
      <c r="R751" t="s">
        <v>769</v>
      </c>
      <c r="S751" s="2">
        <v>21214</v>
      </c>
      <c r="T751" s="2">
        <v>10351</v>
      </c>
    </row>
    <row r="752" spans="14:20" x14ac:dyDescent="0.25">
      <c r="N752" t="s">
        <v>770</v>
      </c>
      <c r="O752" s="2">
        <v>81</v>
      </c>
      <c r="P752" s="5">
        <v>6.2595419847328249E-2</v>
      </c>
      <c r="R752" t="s">
        <v>770</v>
      </c>
      <c r="S752" s="2">
        <v>18110</v>
      </c>
      <c r="T752" s="2">
        <v>6550</v>
      </c>
    </row>
    <row r="753" spans="14:20" x14ac:dyDescent="0.25">
      <c r="N753" t="s">
        <v>771</v>
      </c>
      <c r="O753" s="2">
        <v>5392</v>
      </c>
      <c r="P753" s="5">
        <v>0.13273550266831174</v>
      </c>
      <c r="R753" t="s">
        <v>771</v>
      </c>
      <c r="S753" s="2">
        <v>427491</v>
      </c>
      <c r="T753" s="2">
        <v>269084</v>
      </c>
    </row>
    <row r="754" spans="14:20" x14ac:dyDescent="0.25">
      <c r="N754" t="s">
        <v>772</v>
      </c>
      <c r="O754" s="2">
        <v>298</v>
      </c>
      <c r="P754" s="5">
        <v>4.5028440299782729E-2</v>
      </c>
      <c r="R754" t="s">
        <v>772</v>
      </c>
      <c r="S754" s="2">
        <v>117459</v>
      </c>
      <c r="T754" s="2">
        <v>81926</v>
      </c>
    </row>
    <row r="755" spans="14:20" x14ac:dyDescent="0.25">
      <c r="N755" t="s">
        <v>773</v>
      </c>
      <c r="O755" s="2">
        <v>430</v>
      </c>
      <c r="P755" s="5">
        <v>8.4750128799587834E-2</v>
      </c>
      <c r="R755" t="s">
        <v>773</v>
      </c>
      <c r="S755" s="2">
        <v>35097</v>
      </c>
      <c r="T755" s="2">
        <v>15528</v>
      </c>
    </row>
    <row r="756" spans="14:20" x14ac:dyDescent="0.25">
      <c r="N756" t="s">
        <v>774</v>
      </c>
      <c r="O756" s="2">
        <v>27</v>
      </c>
      <c r="P756" s="5">
        <v>3.9935327405012128E-2</v>
      </c>
      <c r="R756" t="s">
        <v>774</v>
      </c>
      <c r="S756" s="2">
        <v>9224</v>
      </c>
      <c r="T756" s="2">
        <v>6185</v>
      </c>
    </row>
    <row r="757" spans="14:20" x14ac:dyDescent="0.25">
      <c r="N757" t="s">
        <v>775</v>
      </c>
      <c r="O757" s="2">
        <v>65</v>
      </c>
      <c r="P757" s="5">
        <v>7.2613660848954972E-2</v>
      </c>
      <c r="R757" t="s">
        <v>775</v>
      </c>
      <c r="S757" s="2">
        <v>14807</v>
      </c>
      <c r="T757" s="2">
        <v>4641</v>
      </c>
    </row>
    <row r="758" spans="14:20" x14ac:dyDescent="0.25">
      <c r="N758" t="s">
        <v>776</v>
      </c>
      <c r="O758" s="2">
        <v>84</v>
      </c>
      <c r="P758" s="5">
        <v>7.9761502981212734E-2</v>
      </c>
      <c r="R758" t="s">
        <v>776</v>
      </c>
      <c r="S758" s="2">
        <v>56534</v>
      </c>
      <c r="T758" s="2">
        <v>26667</v>
      </c>
    </row>
    <row r="759" spans="14:20" x14ac:dyDescent="0.25">
      <c r="N759" t="s">
        <v>777</v>
      </c>
      <c r="O759" s="2">
        <v>160</v>
      </c>
      <c r="P759" s="5">
        <v>8.7456796604978779E-2</v>
      </c>
      <c r="R759" t="s">
        <v>777</v>
      </c>
      <c r="S759" s="2">
        <v>34138</v>
      </c>
      <c r="T759" s="2">
        <v>22857</v>
      </c>
    </row>
    <row r="760" spans="14:20" x14ac:dyDescent="0.25">
      <c r="N760" t="s">
        <v>778</v>
      </c>
      <c r="O760" s="2">
        <v>57</v>
      </c>
      <c r="P760" s="5">
        <v>3.8577912254160365E-2</v>
      </c>
      <c r="R760" t="s">
        <v>778</v>
      </c>
      <c r="S760" s="2">
        <v>13034</v>
      </c>
      <c r="T760" s="2">
        <v>6610</v>
      </c>
    </row>
    <row r="761" spans="14:20" x14ac:dyDescent="0.25">
      <c r="N761" t="s">
        <v>779</v>
      </c>
      <c r="O761" s="2">
        <v>63</v>
      </c>
      <c r="P761" s="5">
        <v>7.7139375761552165E-2</v>
      </c>
      <c r="R761" t="s">
        <v>779</v>
      </c>
      <c r="S761" s="2">
        <v>16931</v>
      </c>
      <c r="T761" s="2">
        <v>10669</v>
      </c>
    </row>
    <row r="762" spans="14:20" x14ac:dyDescent="0.25">
      <c r="N762" t="s">
        <v>780</v>
      </c>
      <c r="O762" s="2">
        <v>3187</v>
      </c>
      <c r="P762" s="5">
        <v>0.10770280607331341</v>
      </c>
      <c r="R762" t="s">
        <v>780</v>
      </c>
      <c r="S762" s="2">
        <v>470236</v>
      </c>
      <c r="T762" s="2">
        <v>181713</v>
      </c>
    </row>
    <row r="763" spans="14:20" x14ac:dyDescent="0.25">
      <c r="N763" t="s">
        <v>781</v>
      </c>
      <c r="O763" s="2">
        <v>1334</v>
      </c>
      <c r="P763" s="5">
        <v>0.12756065049320181</v>
      </c>
      <c r="R763" t="s">
        <v>781</v>
      </c>
      <c r="S763" s="2">
        <v>137714</v>
      </c>
      <c r="T763" s="2">
        <v>93775</v>
      </c>
    </row>
    <row r="764" spans="14:20" x14ac:dyDescent="0.25">
      <c r="N764" t="s">
        <v>782</v>
      </c>
      <c r="O764" s="2">
        <v>72</v>
      </c>
      <c r="P764" s="5">
        <v>5.6571978815599423E-2</v>
      </c>
      <c r="R764" t="s">
        <v>782</v>
      </c>
      <c r="S764" s="2">
        <v>6286</v>
      </c>
      <c r="T764" s="2">
        <v>4154</v>
      </c>
    </row>
    <row r="765" spans="14:20" x14ac:dyDescent="0.25">
      <c r="N765" t="s">
        <v>783</v>
      </c>
      <c r="O765" s="2">
        <v>31</v>
      </c>
      <c r="P765" s="5">
        <v>1.7892046308825741E-2</v>
      </c>
      <c r="R765" t="s">
        <v>783</v>
      </c>
      <c r="S765" s="2">
        <v>17035</v>
      </c>
      <c r="T765" s="2">
        <v>13302</v>
      </c>
    </row>
    <row r="766" spans="14:20" x14ac:dyDescent="0.25">
      <c r="N766" t="s">
        <v>784</v>
      </c>
      <c r="O766" s="2">
        <v>656</v>
      </c>
      <c r="P766" s="5">
        <v>0.14613898232305159</v>
      </c>
      <c r="R766" t="s">
        <v>784</v>
      </c>
      <c r="S766" s="2">
        <v>22629</v>
      </c>
      <c r="T766" s="2">
        <v>13973</v>
      </c>
    </row>
    <row r="767" spans="14:20" x14ac:dyDescent="0.25">
      <c r="N767" t="s">
        <v>785</v>
      </c>
      <c r="O767" s="2">
        <v>72</v>
      </c>
      <c r="P767" s="5">
        <v>6.4601938058141739E-2</v>
      </c>
      <c r="R767" t="s">
        <v>785</v>
      </c>
      <c r="S767" s="2">
        <v>10886</v>
      </c>
      <c r="T767" s="2">
        <v>5263</v>
      </c>
    </row>
    <row r="768" spans="14:20" x14ac:dyDescent="0.25">
      <c r="N768" t="s">
        <v>786</v>
      </c>
      <c r="O768" s="2">
        <v>90</v>
      </c>
      <c r="P768" s="5">
        <v>7.4781715459681555E-2</v>
      </c>
      <c r="R768" t="s">
        <v>786</v>
      </c>
      <c r="S768" s="2">
        <v>16928</v>
      </c>
      <c r="T768" s="2">
        <v>9735</v>
      </c>
    </row>
    <row r="769" spans="14:20" x14ac:dyDescent="0.25">
      <c r="N769" t="s">
        <v>787</v>
      </c>
      <c r="O769" s="2">
        <v>91</v>
      </c>
      <c r="P769" s="5">
        <v>7.607323232323232E-2</v>
      </c>
      <c r="R769" t="s">
        <v>787</v>
      </c>
      <c r="S769" s="2">
        <v>7099</v>
      </c>
      <c r="T769" s="2">
        <v>3168</v>
      </c>
    </row>
    <row r="770" spans="14:20" x14ac:dyDescent="0.25">
      <c r="N770" t="s">
        <v>788</v>
      </c>
      <c r="O770" s="2">
        <v>234</v>
      </c>
      <c r="P770" s="5">
        <v>3.5084650902476561E-2</v>
      </c>
      <c r="R770" t="s">
        <v>788</v>
      </c>
      <c r="S770" s="2">
        <v>36817</v>
      </c>
      <c r="T770" s="2">
        <v>28588</v>
      </c>
    </row>
    <row r="771" spans="14:20" x14ac:dyDescent="0.25">
      <c r="N771" t="s">
        <v>789</v>
      </c>
      <c r="O771" s="2">
        <v>6584</v>
      </c>
      <c r="P771" s="5">
        <v>0.13141413294693857</v>
      </c>
      <c r="R771" t="s">
        <v>789</v>
      </c>
      <c r="S771" s="2">
        <v>250782</v>
      </c>
      <c r="T771" s="2">
        <v>167014</v>
      </c>
    </row>
    <row r="772" spans="14:20" x14ac:dyDescent="0.25">
      <c r="N772" t="s">
        <v>790</v>
      </c>
      <c r="O772" s="2">
        <v>11</v>
      </c>
      <c r="P772" s="5">
        <v>3.5593220338983052E-2</v>
      </c>
      <c r="R772" t="s">
        <v>790</v>
      </c>
      <c r="S772" s="2">
        <v>2682</v>
      </c>
      <c r="T772" s="2">
        <v>1770</v>
      </c>
    </row>
    <row r="773" spans="14:20" x14ac:dyDescent="0.25">
      <c r="N773" t="s">
        <v>791</v>
      </c>
      <c r="O773" s="2">
        <v>63</v>
      </c>
      <c r="P773" s="5">
        <v>5.6920170051960324E-2</v>
      </c>
      <c r="R773" t="s">
        <v>791</v>
      </c>
      <c r="S773" s="2">
        <v>20009</v>
      </c>
      <c r="T773" s="2">
        <v>8468</v>
      </c>
    </row>
    <row r="774" spans="14:20" x14ac:dyDescent="0.25">
      <c r="N774" t="s">
        <v>792</v>
      </c>
      <c r="O774" s="2">
        <v>42</v>
      </c>
      <c r="P774" s="5">
        <v>9.0683229813664598E-2</v>
      </c>
      <c r="R774" t="s">
        <v>792</v>
      </c>
      <c r="S774" s="2">
        <v>2335</v>
      </c>
      <c r="T774" s="2">
        <v>1610</v>
      </c>
    </row>
    <row r="775" spans="14:20" x14ac:dyDescent="0.25">
      <c r="N775" t="s">
        <v>793</v>
      </c>
      <c r="O775" s="2">
        <v>524</v>
      </c>
      <c r="P775" s="5">
        <v>8.7429926692539892E-2</v>
      </c>
      <c r="R775" t="s">
        <v>793</v>
      </c>
      <c r="S775" s="2">
        <v>34001</v>
      </c>
      <c r="T775" s="2">
        <v>18552</v>
      </c>
    </row>
    <row r="776" spans="14:20" x14ac:dyDescent="0.25">
      <c r="N776" t="s">
        <v>794</v>
      </c>
      <c r="O776" s="2">
        <v>34</v>
      </c>
      <c r="P776" s="5">
        <v>3.6076443057722306E-2</v>
      </c>
      <c r="R776" t="s">
        <v>794</v>
      </c>
      <c r="S776" s="2">
        <v>7779</v>
      </c>
      <c r="T776" s="2">
        <v>5128</v>
      </c>
    </row>
    <row r="777" spans="14:20" x14ac:dyDescent="0.25">
      <c r="N777" t="s">
        <v>795</v>
      </c>
      <c r="O777" s="2">
        <v>154</v>
      </c>
      <c r="P777" s="5">
        <v>4.0945011977861608E-2</v>
      </c>
      <c r="R777" t="s">
        <v>795</v>
      </c>
      <c r="S777" s="2">
        <v>63122</v>
      </c>
      <c r="T777" s="2">
        <v>36317</v>
      </c>
    </row>
    <row r="778" spans="14:20" x14ac:dyDescent="0.25">
      <c r="N778" t="s">
        <v>796</v>
      </c>
      <c r="O778" s="2">
        <v>215</v>
      </c>
      <c r="P778" s="5">
        <v>7.6680359588021677E-2</v>
      </c>
      <c r="R778" t="s">
        <v>796</v>
      </c>
      <c r="S778" s="2">
        <v>25468</v>
      </c>
      <c r="T778" s="2">
        <v>16797</v>
      </c>
    </row>
    <row r="779" spans="14:20" x14ac:dyDescent="0.25">
      <c r="N779" t="s">
        <v>797</v>
      </c>
      <c r="O779" s="2">
        <v>3810</v>
      </c>
      <c r="P779" s="5">
        <v>8.0806037186153312E-2</v>
      </c>
      <c r="R779" t="s">
        <v>797</v>
      </c>
      <c r="S779" s="2">
        <v>272197</v>
      </c>
      <c r="T779" s="2">
        <v>148281</v>
      </c>
    </row>
    <row r="780" spans="14:20" x14ac:dyDescent="0.25">
      <c r="N780" t="s">
        <v>798</v>
      </c>
      <c r="O780" s="2">
        <v>73</v>
      </c>
      <c r="P780" s="5">
        <v>4.6095954844778929E-2</v>
      </c>
      <c r="R780" t="s">
        <v>798</v>
      </c>
      <c r="S780" s="2">
        <v>13512</v>
      </c>
      <c r="T780" s="2">
        <v>9567</v>
      </c>
    </row>
    <row r="781" spans="14:20" x14ac:dyDescent="0.25">
      <c r="N781" t="s">
        <v>799</v>
      </c>
      <c r="O781" s="2">
        <v>9831</v>
      </c>
      <c r="P781" s="5">
        <v>0.17030143213913632</v>
      </c>
      <c r="R781" t="s">
        <v>799</v>
      </c>
      <c r="S781" s="2">
        <v>333804</v>
      </c>
      <c r="T781" s="2">
        <v>200609</v>
      </c>
    </row>
    <row r="782" spans="14:20" x14ac:dyDescent="0.25">
      <c r="N782" t="s">
        <v>800</v>
      </c>
      <c r="O782" s="2">
        <v>134</v>
      </c>
      <c r="P782" s="5">
        <v>7.3774685357617928E-2</v>
      </c>
      <c r="R782" t="s">
        <v>800</v>
      </c>
      <c r="S782" s="2">
        <v>23579</v>
      </c>
      <c r="T782" s="2">
        <v>9773</v>
      </c>
    </row>
    <row r="783" spans="14:20" x14ac:dyDescent="0.25">
      <c r="N783" t="s">
        <v>801</v>
      </c>
      <c r="O783" s="2">
        <v>84</v>
      </c>
      <c r="P783" s="5">
        <v>7.5754769401741057E-2</v>
      </c>
      <c r="R783" t="s">
        <v>801</v>
      </c>
      <c r="S783" s="2">
        <v>13503</v>
      </c>
      <c r="T783" s="2">
        <v>5399</v>
      </c>
    </row>
    <row r="784" spans="14:20" x14ac:dyDescent="0.25">
      <c r="N784" t="s">
        <v>802</v>
      </c>
      <c r="O784" s="2">
        <v>249</v>
      </c>
      <c r="P784" s="5">
        <v>5.7354477257620357E-2</v>
      </c>
      <c r="R784" t="s">
        <v>802</v>
      </c>
      <c r="S784" s="2">
        <v>16980</v>
      </c>
      <c r="T784" s="2">
        <v>10531</v>
      </c>
    </row>
    <row r="785" spans="14:20" x14ac:dyDescent="0.25">
      <c r="N785" t="s">
        <v>803</v>
      </c>
      <c r="O785" s="2">
        <v>306</v>
      </c>
      <c r="P785" s="5">
        <v>3.9236479321314952E-2</v>
      </c>
      <c r="R785" t="s">
        <v>803</v>
      </c>
      <c r="S785" s="2">
        <v>30937</v>
      </c>
      <c r="T785" s="2">
        <v>15088</v>
      </c>
    </row>
    <row r="786" spans="14:20" x14ac:dyDescent="0.25">
      <c r="N786" t="s">
        <v>804</v>
      </c>
      <c r="O786" s="2">
        <v>357</v>
      </c>
      <c r="P786" s="5">
        <v>4.2318059299191371E-2</v>
      </c>
      <c r="R786" t="s">
        <v>804</v>
      </c>
      <c r="S786" s="2">
        <v>26470</v>
      </c>
      <c r="T786" s="2">
        <v>14840</v>
      </c>
    </row>
    <row r="787" spans="14:20" x14ac:dyDescent="0.25">
      <c r="N787" t="s">
        <v>805</v>
      </c>
      <c r="O787" s="2">
        <v>1513</v>
      </c>
      <c r="P787" s="5">
        <v>0.14411725693062741</v>
      </c>
      <c r="R787" t="s">
        <v>805</v>
      </c>
      <c r="S787" s="2">
        <v>108168</v>
      </c>
      <c r="T787" s="2">
        <v>45234</v>
      </c>
    </row>
    <row r="788" spans="14:20" x14ac:dyDescent="0.25">
      <c r="N788" t="s">
        <v>806</v>
      </c>
      <c r="O788" s="2">
        <v>114</v>
      </c>
      <c r="P788" s="5">
        <v>4.4938965107486226E-2</v>
      </c>
      <c r="R788" t="s">
        <v>806</v>
      </c>
      <c r="S788" s="2">
        <v>19486</v>
      </c>
      <c r="T788" s="2">
        <v>9257</v>
      </c>
    </row>
    <row r="789" spans="14:20" x14ac:dyDescent="0.25">
      <c r="N789" t="s">
        <v>807</v>
      </c>
      <c r="O789" s="2">
        <v>8146</v>
      </c>
      <c r="P789" s="5">
        <v>0.1441556765129838</v>
      </c>
      <c r="R789" t="s">
        <v>807</v>
      </c>
      <c r="S789" s="2">
        <v>327325</v>
      </c>
      <c r="T789" s="2">
        <v>185924</v>
      </c>
    </row>
    <row r="790" spans="14:20" x14ac:dyDescent="0.25">
      <c r="N790" t="s">
        <v>808</v>
      </c>
      <c r="O790" s="2">
        <v>3701</v>
      </c>
      <c r="P790" s="5">
        <v>0.14435481096700953</v>
      </c>
      <c r="R790" t="s">
        <v>808</v>
      </c>
      <c r="S790" s="2">
        <v>209403</v>
      </c>
      <c r="T790" s="2">
        <v>116276</v>
      </c>
    </row>
    <row r="791" spans="14:20" x14ac:dyDescent="0.25">
      <c r="N791" t="s">
        <v>809</v>
      </c>
      <c r="O791" s="2">
        <v>318</v>
      </c>
      <c r="P791" s="5">
        <v>5.6933349230952668E-2</v>
      </c>
      <c r="R791" t="s">
        <v>809</v>
      </c>
      <c r="S791" s="2">
        <v>43665</v>
      </c>
      <c r="T791" s="2">
        <v>33548</v>
      </c>
    </row>
    <row r="792" spans="14:20" x14ac:dyDescent="0.25">
      <c r="N792" t="s">
        <v>810</v>
      </c>
      <c r="O792" s="2">
        <v>515</v>
      </c>
      <c r="P792" s="5">
        <v>6.1674582005074488E-2</v>
      </c>
      <c r="R792" t="s">
        <v>810</v>
      </c>
      <c r="S792" s="2">
        <v>44840</v>
      </c>
      <c r="T792" s="2">
        <v>30742</v>
      </c>
    </row>
    <row r="793" spans="14:20" x14ac:dyDescent="0.25">
      <c r="N793" t="s">
        <v>811</v>
      </c>
      <c r="O793" s="2">
        <v>324</v>
      </c>
      <c r="P793" s="5">
        <v>4.5519203413940258E-2</v>
      </c>
      <c r="R793" t="s">
        <v>811</v>
      </c>
      <c r="S793" s="2">
        <v>28891</v>
      </c>
      <c r="T793" s="2">
        <v>24605</v>
      </c>
    </row>
    <row r="794" spans="14:20" x14ac:dyDescent="0.25">
      <c r="N794" t="s">
        <v>812</v>
      </c>
      <c r="O794" s="2">
        <v>157</v>
      </c>
      <c r="P794" s="5">
        <v>7.3109181325614198E-2</v>
      </c>
      <c r="R794" t="s">
        <v>812</v>
      </c>
      <c r="S794" s="2">
        <v>19665</v>
      </c>
      <c r="T794" s="2">
        <v>13473</v>
      </c>
    </row>
    <row r="795" spans="14:20" x14ac:dyDescent="0.25">
      <c r="N795" t="s">
        <v>813</v>
      </c>
      <c r="O795" s="2">
        <v>4597</v>
      </c>
      <c r="P795" s="5">
        <v>9.6158576745145649E-2</v>
      </c>
      <c r="R795" t="s">
        <v>813</v>
      </c>
      <c r="S795" s="2">
        <v>309901</v>
      </c>
      <c r="T795" s="2">
        <v>126021</v>
      </c>
    </row>
    <row r="796" spans="14:20" x14ac:dyDescent="0.25">
      <c r="N796" t="s">
        <v>814</v>
      </c>
      <c r="O796" s="2">
        <v>259</v>
      </c>
      <c r="P796" s="5">
        <v>9.4521561680084312E-2</v>
      </c>
      <c r="R796" t="s">
        <v>814</v>
      </c>
      <c r="S796" s="2">
        <v>78507</v>
      </c>
      <c r="T796" s="2">
        <v>44593</v>
      </c>
    </row>
    <row r="797" spans="14:20" x14ac:dyDescent="0.25">
      <c r="N797" t="s">
        <v>815</v>
      </c>
      <c r="O797" s="2">
        <v>131</v>
      </c>
      <c r="P797" s="5">
        <v>3.6729510598808246E-2</v>
      </c>
      <c r="R797" t="s">
        <v>815</v>
      </c>
      <c r="S797" s="2">
        <v>12523</v>
      </c>
      <c r="T797" s="2">
        <v>10237</v>
      </c>
    </row>
    <row r="798" spans="14:20" x14ac:dyDescent="0.25">
      <c r="N798" t="s">
        <v>816</v>
      </c>
      <c r="O798" s="2">
        <v>64</v>
      </c>
      <c r="P798" s="5">
        <v>8.7908011869436198E-2</v>
      </c>
      <c r="R798" t="s">
        <v>816</v>
      </c>
      <c r="S798" s="2">
        <v>16546</v>
      </c>
      <c r="T798" s="2">
        <v>10784</v>
      </c>
    </row>
    <row r="799" spans="14:20" x14ac:dyDescent="0.25">
      <c r="N799" t="s">
        <v>817</v>
      </c>
      <c r="O799" s="2">
        <v>150</v>
      </c>
      <c r="P799" s="5">
        <v>3.2707892239176459E-2</v>
      </c>
      <c r="R799" t="s">
        <v>817</v>
      </c>
      <c r="S799" s="2">
        <v>22672</v>
      </c>
      <c r="T799" s="2">
        <v>13697</v>
      </c>
    </row>
    <row r="800" spans="14:20" x14ac:dyDescent="0.25">
      <c r="N800" t="s">
        <v>818</v>
      </c>
      <c r="O800" s="2">
        <v>178</v>
      </c>
      <c r="P800" s="5">
        <v>8.2764885033928801E-2</v>
      </c>
      <c r="R800" t="s">
        <v>818</v>
      </c>
      <c r="S800" s="2">
        <v>72621</v>
      </c>
      <c r="T800" s="2">
        <v>56147</v>
      </c>
    </row>
    <row r="801" spans="14:20" x14ac:dyDescent="0.25">
      <c r="N801" t="s">
        <v>819</v>
      </c>
      <c r="O801" s="2">
        <v>245</v>
      </c>
      <c r="P801" s="5">
        <v>4.175982690227191E-2</v>
      </c>
      <c r="R801" t="s">
        <v>819</v>
      </c>
      <c r="S801" s="2">
        <v>16084</v>
      </c>
      <c r="T801" s="2">
        <v>13865</v>
      </c>
    </row>
    <row r="802" spans="14:20" x14ac:dyDescent="0.25">
      <c r="N802" t="s">
        <v>820</v>
      </c>
      <c r="O802" s="2">
        <v>47</v>
      </c>
      <c r="P802" s="5">
        <v>9.7247968059318415E-2</v>
      </c>
      <c r="R802" t="s">
        <v>820</v>
      </c>
      <c r="S802" s="2">
        <v>8929</v>
      </c>
      <c r="T802" s="2">
        <v>7013</v>
      </c>
    </row>
    <row r="803" spans="14:20" x14ac:dyDescent="0.25">
      <c r="N803" t="s">
        <v>821</v>
      </c>
      <c r="O803" s="2">
        <v>151</v>
      </c>
      <c r="P803" s="5">
        <v>5.0397275822928488E-2</v>
      </c>
      <c r="R803" t="s">
        <v>821</v>
      </c>
      <c r="S803" s="2">
        <v>15199</v>
      </c>
      <c r="T803" s="2">
        <v>8810</v>
      </c>
    </row>
    <row r="804" spans="14:20" x14ac:dyDescent="0.25">
      <c r="N804" t="s">
        <v>822</v>
      </c>
      <c r="O804" s="2">
        <v>116</v>
      </c>
      <c r="P804" s="5">
        <v>6.4326375711574957E-2</v>
      </c>
      <c r="R804" t="s">
        <v>822</v>
      </c>
      <c r="S804" s="2">
        <v>31608</v>
      </c>
      <c r="T804" s="2">
        <v>10540</v>
      </c>
    </row>
    <row r="805" spans="14:20" x14ac:dyDescent="0.25">
      <c r="N805" t="s">
        <v>823</v>
      </c>
      <c r="O805" s="2">
        <v>137</v>
      </c>
      <c r="P805" s="5">
        <v>3.1415241057542766E-2</v>
      </c>
      <c r="R805" t="s">
        <v>823</v>
      </c>
      <c r="S805" s="2">
        <v>18381</v>
      </c>
      <c r="T805" s="2">
        <v>12860</v>
      </c>
    </row>
    <row r="806" spans="14:20" x14ac:dyDescent="0.25">
      <c r="N806" t="s">
        <v>824</v>
      </c>
      <c r="O806" s="2">
        <v>22</v>
      </c>
      <c r="P806" s="5">
        <v>8.3421330517423439E-2</v>
      </c>
      <c r="R806" t="s">
        <v>824</v>
      </c>
      <c r="S806" s="2">
        <v>8019</v>
      </c>
      <c r="T806" s="2">
        <v>4735</v>
      </c>
    </row>
    <row r="807" spans="14:20" x14ac:dyDescent="0.25">
      <c r="N807" t="s">
        <v>825</v>
      </c>
      <c r="O807" s="2">
        <v>509</v>
      </c>
      <c r="P807" s="5">
        <v>7.0215615114406035E-2</v>
      </c>
      <c r="R807" t="s">
        <v>825</v>
      </c>
      <c r="S807" s="2">
        <v>85320</v>
      </c>
      <c r="T807" s="2">
        <v>51527</v>
      </c>
    </row>
    <row r="808" spans="14:20" x14ac:dyDescent="0.25">
      <c r="N808" t="s">
        <v>826</v>
      </c>
      <c r="O808" s="2">
        <v>102</v>
      </c>
      <c r="P808" s="5">
        <v>3.2432253362485917E-2</v>
      </c>
      <c r="R808" t="s">
        <v>826</v>
      </c>
      <c r="S808" s="2">
        <v>38897</v>
      </c>
      <c r="T808" s="2">
        <v>30186</v>
      </c>
    </row>
    <row r="809" spans="14:20" x14ac:dyDescent="0.25">
      <c r="N809" t="s">
        <v>827</v>
      </c>
      <c r="O809" s="2">
        <v>213</v>
      </c>
      <c r="P809" s="5">
        <v>6.1299000768639506E-2</v>
      </c>
      <c r="R809" t="s">
        <v>827</v>
      </c>
      <c r="S809" s="2">
        <v>34622</v>
      </c>
      <c r="T809" s="2">
        <v>15612</v>
      </c>
    </row>
    <row r="810" spans="14:20" x14ac:dyDescent="0.25">
      <c r="N810" t="s">
        <v>828</v>
      </c>
      <c r="O810" s="2">
        <v>10</v>
      </c>
      <c r="P810" s="5">
        <v>6.652360515021459E-2</v>
      </c>
      <c r="R810" t="s">
        <v>828</v>
      </c>
      <c r="S810" s="2">
        <v>896</v>
      </c>
      <c r="T810" s="2">
        <v>466</v>
      </c>
    </row>
    <row r="811" spans="14:20" x14ac:dyDescent="0.25">
      <c r="N811" t="s">
        <v>829</v>
      </c>
      <c r="O811" s="2">
        <v>2977</v>
      </c>
      <c r="P811" s="5">
        <v>0.14804906094289</v>
      </c>
      <c r="R811" t="s">
        <v>829</v>
      </c>
      <c r="S811" s="2">
        <v>267198</v>
      </c>
      <c r="T811" s="2">
        <v>130450</v>
      </c>
    </row>
    <row r="812" spans="14:20" x14ac:dyDescent="0.25">
      <c r="N812" t="s">
        <v>830</v>
      </c>
      <c r="O812" s="2">
        <v>36</v>
      </c>
      <c r="P812" s="5">
        <v>2.7121001390820583E-2</v>
      </c>
      <c r="R812" t="s">
        <v>830</v>
      </c>
      <c r="S812" s="2">
        <v>5004</v>
      </c>
      <c r="T812" s="2">
        <v>2876</v>
      </c>
    </row>
    <row r="813" spans="14:20" x14ac:dyDescent="0.25">
      <c r="N813" t="s">
        <v>831</v>
      </c>
      <c r="O813" s="2">
        <v>301</v>
      </c>
      <c r="P813" s="5">
        <v>4.1021844795798651E-2</v>
      </c>
      <c r="R813" t="s">
        <v>831</v>
      </c>
      <c r="S813" s="2">
        <v>92027</v>
      </c>
      <c r="T813" s="2">
        <v>71596</v>
      </c>
    </row>
    <row r="814" spans="14:20" x14ac:dyDescent="0.25">
      <c r="N814" t="s">
        <v>832</v>
      </c>
      <c r="O814" s="2">
        <v>44</v>
      </c>
      <c r="P814" s="5">
        <v>7.2467566505045211E-2</v>
      </c>
      <c r="R814" t="s">
        <v>832</v>
      </c>
      <c r="S814" s="2">
        <v>18602</v>
      </c>
      <c r="T814" s="2">
        <v>7631</v>
      </c>
    </row>
    <row r="815" spans="14:20" x14ac:dyDescent="0.25">
      <c r="N815" t="s">
        <v>833</v>
      </c>
      <c r="O815" s="2">
        <v>192</v>
      </c>
      <c r="P815" s="5">
        <v>3.1633206728160605E-2</v>
      </c>
      <c r="R815" t="s">
        <v>833</v>
      </c>
      <c r="S815" s="2">
        <v>27727</v>
      </c>
      <c r="T815" s="2">
        <v>18430</v>
      </c>
    </row>
    <row r="816" spans="14:20" x14ac:dyDescent="0.25">
      <c r="N816" t="s">
        <v>834</v>
      </c>
      <c r="O816" s="2">
        <v>48</v>
      </c>
      <c r="P816" s="5">
        <v>7.6216484607745785E-2</v>
      </c>
      <c r="R816" t="s">
        <v>834</v>
      </c>
      <c r="S816" s="2">
        <v>15247</v>
      </c>
      <c r="T816" s="2">
        <v>8056</v>
      </c>
    </row>
    <row r="817" spans="14:20" x14ac:dyDescent="0.25">
      <c r="N817" t="s">
        <v>835</v>
      </c>
      <c r="O817" s="2">
        <v>2205</v>
      </c>
      <c r="P817" s="5">
        <v>8.7568096338398752E-2</v>
      </c>
      <c r="R817" t="s">
        <v>835</v>
      </c>
      <c r="S817" s="2">
        <v>89894</v>
      </c>
      <c r="T817" s="2">
        <v>59291</v>
      </c>
    </row>
    <row r="818" spans="14:20" x14ac:dyDescent="0.25">
      <c r="N818" t="s">
        <v>836</v>
      </c>
      <c r="O818" s="2">
        <v>74</v>
      </c>
      <c r="P818" s="5">
        <v>8.8855345911949685E-2</v>
      </c>
      <c r="R818" t="s">
        <v>836</v>
      </c>
      <c r="S818" s="2">
        <v>27153</v>
      </c>
      <c r="T818" s="2">
        <v>19875</v>
      </c>
    </row>
    <row r="819" spans="14:20" x14ac:dyDescent="0.25">
      <c r="N819" t="s">
        <v>837</v>
      </c>
      <c r="O819" s="2">
        <v>25</v>
      </c>
      <c r="P819" s="5">
        <v>3.6818851251840944E-2</v>
      </c>
      <c r="R819" t="s">
        <v>837</v>
      </c>
      <c r="S819" s="2">
        <v>4784</v>
      </c>
      <c r="T819" s="2">
        <v>2037</v>
      </c>
    </row>
    <row r="820" spans="14:20" x14ac:dyDescent="0.25">
      <c r="N820" t="s">
        <v>838</v>
      </c>
      <c r="O820" s="2">
        <v>99</v>
      </c>
      <c r="P820" s="5">
        <v>3.4522319566124324E-2</v>
      </c>
      <c r="R820" t="s">
        <v>838</v>
      </c>
      <c r="S820" s="2">
        <v>13034</v>
      </c>
      <c r="T820" s="2">
        <v>9588</v>
      </c>
    </row>
    <row r="821" spans="14:20" x14ac:dyDescent="0.25">
      <c r="N821" t="s">
        <v>839</v>
      </c>
      <c r="O821" s="2">
        <v>151</v>
      </c>
      <c r="P821" s="5">
        <v>3.7173645765531206E-2</v>
      </c>
      <c r="R821" t="s">
        <v>839</v>
      </c>
      <c r="S821" s="2">
        <v>18057</v>
      </c>
      <c r="T821" s="2">
        <v>13827</v>
      </c>
    </row>
    <row r="822" spans="14:20" x14ac:dyDescent="0.25">
      <c r="N822" t="s">
        <v>840</v>
      </c>
      <c r="O822" s="2">
        <v>975</v>
      </c>
      <c r="P822" s="5">
        <v>0.1015141428591663</v>
      </c>
      <c r="R822" t="s">
        <v>840</v>
      </c>
      <c r="S822" s="2">
        <v>179719</v>
      </c>
      <c r="T822" s="2">
        <v>70601</v>
      </c>
    </row>
    <row r="823" spans="14:20" x14ac:dyDescent="0.25">
      <c r="N823" t="s">
        <v>841</v>
      </c>
      <c r="O823" s="2">
        <v>148</v>
      </c>
      <c r="P823" s="5">
        <v>3.5421888053467E-2</v>
      </c>
      <c r="R823" t="s">
        <v>841</v>
      </c>
      <c r="S823" s="2">
        <v>23924</v>
      </c>
      <c r="T823" s="2">
        <v>11970</v>
      </c>
    </row>
    <row r="824" spans="14:20" x14ac:dyDescent="0.25">
      <c r="N824" t="s">
        <v>842</v>
      </c>
      <c r="O824" s="2">
        <v>4021</v>
      </c>
      <c r="P824" s="5">
        <v>0.12492797211642517</v>
      </c>
      <c r="R824" t="s">
        <v>842</v>
      </c>
      <c r="S824" s="2">
        <v>300492</v>
      </c>
      <c r="T824" s="2">
        <v>142306</v>
      </c>
    </row>
    <row r="825" spans="14:20" x14ac:dyDescent="0.25">
      <c r="N825" t="s">
        <v>843</v>
      </c>
      <c r="O825" s="2">
        <v>92</v>
      </c>
      <c r="P825" s="5">
        <v>4.6337566226557901E-2</v>
      </c>
      <c r="R825" t="s">
        <v>843</v>
      </c>
      <c r="S825" s="2">
        <v>28585</v>
      </c>
      <c r="T825" s="2">
        <v>11891</v>
      </c>
    </row>
    <row r="826" spans="14:20" x14ac:dyDescent="0.25">
      <c r="N826" t="s">
        <v>844</v>
      </c>
      <c r="O826" s="2">
        <v>27</v>
      </c>
      <c r="P826" s="5">
        <v>2.9628937283858306E-2</v>
      </c>
      <c r="R826" t="s">
        <v>844</v>
      </c>
      <c r="S826" s="2">
        <v>17663</v>
      </c>
      <c r="T826" s="2">
        <v>10699</v>
      </c>
    </row>
    <row r="827" spans="14:20" x14ac:dyDescent="0.25">
      <c r="N827" t="s">
        <v>845</v>
      </c>
      <c r="O827" s="2">
        <v>27</v>
      </c>
      <c r="P827" s="5">
        <v>3.2687991021324352E-2</v>
      </c>
      <c r="R827" t="s">
        <v>845</v>
      </c>
      <c r="S827" s="2">
        <v>11481</v>
      </c>
      <c r="T827" s="2">
        <v>7128</v>
      </c>
    </row>
    <row r="828" spans="14:20" x14ac:dyDescent="0.25">
      <c r="N828" t="s">
        <v>846</v>
      </c>
      <c r="O828" s="2">
        <v>62</v>
      </c>
      <c r="P828" s="5">
        <v>9.0413578771216835E-2</v>
      </c>
      <c r="R828" t="s">
        <v>846</v>
      </c>
      <c r="S828" s="2">
        <v>30075</v>
      </c>
      <c r="T828" s="2">
        <v>20915</v>
      </c>
    </row>
    <row r="829" spans="14:20" x14ac:dyDescent="0.25">
      <c r="N829" t="s">
        <v>847</v>
      </c>
      <c r="O829" s="2">
        <v>640</v>
      </c>
      <c r="P829" s="5">
        <v>6.2380300957592338E-2</v>
      </c>
      <c r="R829" t="s">
        <v>847</v>
      </c>
      <c r="S829" s="2">
        <v>43087</v>
      </c>
      <c r="T829" s="2">
        <v>29240</v>
      </c>
    </row>
    <row r="830" spans="14:20" x14ac:dyDescent="0.25">
      <c r="N830" t="s">
        <v>848</v>
      </c>
      <c r="O830" s="2">
        <v>94</v>
      </c>
      <c r="P830" s="5">
        <v>2.913533834586466E-2</v>
      </c>
      <c r="R830" t="s">
        <v>848</v>
      </c>
      <c r="S830" s="2">
        <v>14244</v>
      </c>
      <c r="T830" s="2">
        <v>12768</v>
      </c>
    </row>
    <row r="831" spans="14:20" x14ac:dyDescent="0.25">
      <c r="N831" t="s">
        <v>849</v>
      </c>
      <c r="O831" s="2">
        <v>103</v>
      </c>
      <c r="P831" s="5">
        <v>7.7154308617234463E-2</v>
      </c>
      <c r="R831" t="s">
        <v>849</v>
      </c>
      <c r="S831" s="2">
        <v>18511</v>
      </c>
      <c r="T831" s="2">
        <v>13972</v>
      </c>
    </row>
    <row r="832" spans="14:20" x14ac:dyDescent="0.25">
      <c r="N832" t="s">
        <v>850</v>
      </c>
      <c r="O832" s="2">
        <v>36</v>
      </c>
      <c r="P832" s="5">
        <v>2.6781903542466921E-2</v>
      </c>
      <c r="R832" t="s">
        <v>850</v>
      </c>
      <c r="S832" s="2">
        <v>12617</v>
      </c>
      <c r="T832" s="2">
        <v>9372</v>
      </c>
    </row>
    <row r="833" spans="14:20" x14ac:dyDescent="0.25">
      <c r="N833" t="s">
        <v>851</v>
      </c>
      <c r="O833" s="2">
        <v>2756</v>
      </c>
      <c r="P833" s="5">
        <v>9.929508323312998E-2</v>
      </c>
      <c r="R833" t="s">
        <v>851</v>
      </c>
      <c r="S833" s="2">
        <v>152232</v>
      </c>
      <c r="T833" s="2">
        <v>90649</v>
      </c>
    </row>
    <row r="834" spans="14:20" x14ac:dyDescent="0.25">
      <c r="N834" t="s">
        <v>852</v>
      </c>
      <c r="O834" s="2">
        <v>49</v>
      </c>
      <c r="P834" s="5">
        <v>5.9803921568627454E-2</v>
      </c>
      <c r="R834" t="s">
        <v>852</v>
      </c>
      <c r="S834" s="2">
        <v>8589</v>
      </c>
      <c r="T834" s="2">
        <v>3060</v>
      </c>
    </row>
    <row r="835" spans="14:20" x14ac:dyDescent="0.25">
      <c r="N835" t="s">
        <v>853</v>
      </c>
      <c r="O835" s="2">
        <v>55</v>
      </c>
      <c r="P835" s="5">
        <v>7.4331020812685833E-2</v>
      </c>
      <c r="R835" t="s">
        <v>853</v>
      </c>
      <c r="S835" s="2">
        <v>6956</v>
      </c>
      <c r="T835" s="2">
        <v>4036</v>
      </c>
    </row>
    <row r="836" spans="14:20" x14ac:dyDescent="0.25">
      <c r="N836" t="s">
        <v>854</v>
      </c>
      <c r="O836" s="2">
        <v>118</v>
      </c>
      <c r="P836" s="5">
        <v>5.6887298747763861E-2</v>
      </c>
      <c r="R836" t="s">
        <v>854</v>
      </c>
      <c r="S836" s="2">
        <v>16675</v>
      </c>
      <c r="T836" s="2">
        <v>5590</v>
      </c>
    </row>
    <row r="837" spans="14:20" x14ac:dyDescent="0.25">
      <c r="N837" t="s">
        <v>855</v>
      </c>
      <c r="O837" s="2">
        <v>17</v>
      </c>
      <c r="P837" s="5">
        <v>5.2964426877470355E-2</v>
      </c>
      <c r="R837" t="s">
        <v>855</v>
      </c>
      <c r="S837" s="2">
        <v>2809</v>
      </c>
      <c r="T837" s="2">
        <v>1265</v>
      </c>
    </row>
    <row r="838" spans="14:20" x14ac:dyDescent="0.25">
      <c r="N838" t="s">
        <v>856</v>
      </c>
      <c r="O838" s="2">
        <v>9</v>
      </c>
      <c r="P838" s="5">
        <v>5.2271231073074388E-2</v>
      </c>
      <c r="R838" t="s">
        <v>856</v>
      </c>
      <c r="S838" s="2">
        <v>11976</v>
      </c>
      <c r="T838" s="2">
        <v>7595</v>
      </c>
    </row>
    <row r="839" spans="14:20" x14ac:dyDescent="0.25">
      <c r="N839" t="s">
        <v>857</v>
      </c>
      <c r="O839" s="2">
        <v>541</v>
      </c>
      <c r="P839" s="5">
        <v>5.872608299511306E-2</v>
      </c>
      <c r="R839" t="s">
        <v>857</v>
      </c>
      <c r="S839" s="2">
        <v>50782</v>
      </c>
      <c r="T839" s="2">
        <v>24146</v>
      </c>
    </row>
    <row r="840" spans="14:20" x14ac:dyDescent="0.25">
      <c r="N840" t="s">
        <v>858</v>
      </c>
      <c r="O840" s="2">
        <v>121</v>
      </c>
      <c r="P840" s="5">
        <v>7.4416717386893899E-2</v>
      </c>
      <c r="R840" t="s">
        <v>858</v>
      </c>
      <c r="S840" s="2">
        <v>83900</v>
      </c>
      <c r="T840" s="2">
        <v>49290</v>
      </c>
    </row>
    <row r="841" spans="14:20" x14ac:dyDescent="0.25">
      <c r="N841" t="s">
        <v>859</v>
      </c>
      <c r="O841" s="2">
        <v>1266</v>
      </c>
      <c r="P841" s="5">
        <v>0.13487837412833889</v>
      </c>
      <c r="R841" t="s">
        <v>859</v>
      </c>
      <c r="S841" s="2">
        <v>206094</v>
      </c>
      <c r="T841" s="2">
        <v>92209</v>
      </c>
    </row>
    <row r="842" spans="14:20" x14ac:dyDescent="0.25">
      <c r="N842" t="s">
        <v>860</v>
      </c>
      <c r="O842" s="2">
        <v>181</v>
      </c>
      <c r="P842" s="5">
        <v>3.4739203021973392E-2</v>
      </c>
      <c r="R842" t="s">
        <v>860</v>
      </c>
      <c r="S842" s="2">
        <v>76099</v>
      </c>
      <c r="T842" s="2">
        <v>59299</v>
      </c>
    </row>
    <row r="843" spans="14:20" x14ac:dyDescent="0.25">
      <c r="N843" t="s">
        <v>861</v>
      </c>
      <c r="O843" s="2">
        <v>138</v>
      </c>
      <c r="P843" s="5">
        <v>7.2306254542937251E-2</v>
      </c>
      <c r="R843" t="s">
        <v>861</v>
      </c>
      <c r="S843" s="2">
        <v>58336</v>
      </c>
      <c r="T843" s="2">
        <v>28891</v>
      </c>
    </row>
    <row r="844" spans="14:20" x14ac:dyDescent="0.25">
      <c r="N844" t="s">
        <v>862</v>
      </c>
      <c r="O844" s="2">
        <v>98</v>
      </c>
      <c r="P844" s="5">
        <v>4.0242976461655276E-2</v>
      </c>
      <c r="R844" t="s">
        <v>862</v>
      </c>
      <c r="S844" s="2">
        <v>10419</v>
      </c>
      <c r="T844" s="2">
        <v>5268</v>
      </c>
    </row>
    <row r="845" spans="14:20" x14ac:dyDescent="0.25">
      <c r="N845" t="s">
        <v>863</v>
      </c>
      <c r="O845" s="2">
        <v>6116</v>
      </c>
      <c r="P845" s="5">
        <v>0.13734408051656327</v>
      </c>
      <c r="R845" t="s">
        <v>863</v>
      </c>
      <c r="S845" s="2">
        <v>397798</v>
      </c>
      <c r="T845" s="2">
        <v>251973</v>
      </c>
    </row>
    <row r="846" spans="14:20" x14ac:dyDescent="0.25">
      <c r="N846" t="s">
        <v>864</v>
      </c>
      <c r="O846" s="2">
        <v>842</v>
      </c>
      <c r="P846" s="5">
        <v>8.4309849875288251E-2</v>
      </c>
      <c r="R846" t="s">
        <v>864</v>
      </c>
      <c r="S846" s="2">
        <v>81633</v>
      </c>
      <c r="T846" s="2">
        <v>42498</v>
      </c>
    </row>
    <row r="847" spans="14:20" x14ac:dyDescent="0.25">
      <c r="N847" t="s">
        <v>865</v>
      </c>
      <c r="O847" s="2">
        <v>460</v>
      </c>
      <c r="P847" s="5">
        <v>9.4152033834503226E-2</v>
      </c>
      <c r="R847" t="s">
        <v>865</v>
      </c>
      <c r="S847" s="2">
        <v>114853</v>
      </c>
      <c r="T847" s="2">
        <v>90322</v>
      </c>
    </row>
    <row r="848" spans="14:20" x14ac:dyDescent="0.25">
      <c r="N848" t="s">
        <v>866</v>
      </c>
      <c r="O848" s="2">
        <v>1702</v>
      </c>
      <c r="P848" s="5">
        <v>0.10729242657588285</v>
      </c>
      <c r="R848" t="s">
        <v>866</v>
      </c>
      <c r="S848" s="2">
        <v>101559</v>
      </c>
      <c r="T848" s="2">
        <v>37011</v>
      </c>
    </row>
    <row r="849" spans="14:20" x14ac:dyDescent="0.25">
      <c r="N849" t="s">
        <v>867</v>
      </c>
      <c r="O849" s="2">
        <v>185</v>
      </c>
      <c r="P849" s="5">
        <v>5.5438448566610454E-2</v>
      </c>
      <c r="R849" t="s">
        <v>867</v>
      </c>
      <c r="S849" s="2">
        <v>52966</v>
      </c>
      <c r="T849" s="2">
        <v>33208</v>
      </c>
    </row>
    <row r="850" spans="14:20" x14ac:dyDescent="0.25">
      <c r="N850" t="s">
        <v>868</v>
      </c>
      <c r="O850" s="2">
        <v>623</v>
      </c>
      <c r="P850" s="5">
        <v>5.2870847651775486E-2</v>
      </c>
      <c r="R850" t="s">
        <v>868</v>
      </c>
      <c r="S850" s="2">
        <v>43373</v>
      </c>
      <c r="T850" s="2">
        <v>27936</v>
      </c>
    </row>
    <row r="851" spans="14:20" x14ac:dyDescent="0.25">
      <c r="N851" t="s">
        <v>869</v>
      </c>
      <c r="O851" s="2">
        <v>333</v>
      </c>
      <c r="P851" s="5">
        <v>5.3716137994906231E-2</v>
      </c>
      <c r="R851" t="s">
        <v>869</v>
      </c>
      <c r="S851" s="2">
        <v>23924</v>
      </c>
      <c r="T851" s="2">
        <v>17276</v>
      </c>
    </row>
    <row r="852" spans="14:20" x14ac:dyDescent="0.25">
      <c r="N852" t="s">
        <v>870</v>
      </c>
      <c r="O852" s="2">
        <v>1002</v>
      </c>
      <c r="P852" s="5">
        <v>0.1580610218450984</v>
      </c>
      <c r="R852" t="s">
        <v>870</v>
      </c>
      <c r="S852" s="2">
        <v>46459</v>
      </c>
      <c r="T852" s="2">
        <v>22156</v>
      </c>
    </row>
    <row r="853" spans="14:20" x14ac:dyDescent="0.25">
      <c r="N853" t="s">
        <v>871</v>
      </c>
      <c r="O853" s="2">
        <v>65</v>
      </c>
      <c r="P853" s="5">
        <v>3.7499999999999999E-2</v>
      </c>
      <c r="R853" t="s">
        <v>871</v>
      </c>
      <c r="S853" s="2">
        <v>14787</v>
      </c>
      <c r="T853" s="2">
        <v>9920</v>
      </c>
    </row>
    <row r="854" spans="14:20" x14ac:dyDescent="0.25">
      <c r="N854" t="s">
        <v>872</v>
      </c>
      <c r="O854" s="2">
        <v>300</v>
      </c>
      <c r="P854" s="5">
        <v>7.1695165350230017E-2</v>
      </c>
      <c r="R854" t="s">
        <v>872</v>
      </c>
      <c r="S854" s="2">
        <v>25391</v>
      </c>
      <c r="T854" s="2">
        <v>11521</v>
      </c>
    </row>
    <row r="855" spans="14:20" x14ac:dyDescent="0.25">
      <c r="N855" t="s">
        <v>873</v>
      </c>
      <c r="O855" s="2">
        <v>5</v>
      </c>
      <c r="P855" s="5">
        <v>8.3959490362626593E-2</v>
      </c>
      <c r="R855" t="s">
        <v>873</v>
      </c>
      <c r="S855" s="2">
        <v>4011</v>
      </c>
      <c r="T855" s="2">
        <v>3061</v>
      </c>
    </row>
    <row r="856" spans="14:20" x14ac:dyDescent="0.25">
      <c r="N856" t="s">
        <v>874</v>
      </c>
      <c r="O856" s="2">
        <v>52</v>
      </c>
      <c r="P856" s="5">
        <v>7.5903063557384548E-2</v>
      </c>
      <c r="R856" t="s">
        <v>874</v>
      </c>
      <c r="S856" s="2">
        <v>13250</v>
      </c>
      <c r="T856" s="2">
        <v>6561</v>
      </c>
    </row>
    <row r="857" spans="14:20" x14ac:dyDescent="0.25">
      <c r="N857" t="s">
        <v>875</v>
      </c>
      <c r="O857" s="2">
        <v>137</v>
      </c>
      <c r="P857" s="5">
        <v>3.0179100267945284E-2</v>
      </c>
      <c r="R857" t="s">
        <v>875</v>
      </c>
      <c r="S857" s="2">
        <v>22087</v>
      </c>
      <c r="T857" s="2">
        <v>14182</v>
      </c>
    </row>
    <row r="858" spans="14:20" x14ac:dyDescent="0.25">
      <c r="N858" t="s">
        <v>876</v>
      </c>
      <c r="O858" s="2">
        <v>4719</v>
      </c>
      <c r="P858" s="5">
        <v>0.1376640950389259</v>
      </c>
      <c r="R858" t="s">
        <v>876</v>
      </c>
      <c r="S858" s="2">
        <v>295436</v>
      </c>
      <c r="T858" s="2">
        <v>113806</v>
      </c>
    </row>
    <row r="859" spans="14:20" x14ac:dyDescent="0.25">
      <c r="N859" t="s">
        <v>877</v>
      </c>
      <c r="O859" s="2">
        <v>528</v>
      </c>
      <c r="P859" s="5">
        <v>0.13718092318575723</v>
      </c>
      <c r="R859" t="s">
        <v>877</v>
      </c>
      <c r="S859" s="2">
        <v>52951</v>
      </c>
      <c r="T859" s="2">
        <v>16963</v>
      </c>
    </row>
    <row r="860" spans="14:20" x14ac:dyDescent="0.25">
      <c r="N860" t="s">
        <v>878</v>
      </c>
      <c r="O860" s="2">
        <v>187</v>
      </c>
      <c r="P860" s="5">
        <v>8.150732728541521E-2</v>
      </c>
      <c r="R860" t="s">
        <v>878</v>
      </c>
      <c r="S860" s="2">
        <v>14623</v>
      </c>
      <c r="T860" s="2">
        <v>7165</v>
      </c>
    </row>
    <row r="861" spans="14:20" x14ac:dyDescent="0.25">
      <c r="N861" t="s">
        <v>879</v>
      </c>
      <c r="O861" s="2">
        <v>24</v>
      </c>
      <c r="P861" s="5">
        <v>7.2467902995720396E-2</v>
      </c>
      <c r="R861" t="s">
        <v>879</v>
      </c>
      <c r="S861" s="2">
        <v>16904</v>
      </c>
      <c r="T861" s="2">
        <v>7010</v>
      </c>
    </row>
    <row r="862" spans="14:20" x14ac:dyDescent="0.25">
      <c r="N862" t="s">
        <v>880</v>
      </c>
      <c r="O862" s="2">
        <v>128</v>
      </c>
      <c r="P862" s="5">
        <v>9.1395423783435389E-2</v>
      </c>
      <c r="R862" t="s">
        <v>880</v>
      </c>
      <c r="S862" s="2">
        <v>38223</v>
      </c>
      <c r="T862" s="2">
        <v>15515</v>
      </c>
    </row>
    <row r="863" spans="14:20" x14ac:dyDescent="0.25">
      <c r="N863" t="s">
        <v>881</v>
      </c>
      <c r="O863" s="2">
        <v>168</v>
      </c>
      <c r="P863" s="5">
        <v>9.1873995812843862E-2</v>
      </c>
      <c r="R863" t="s">
        <v>881</v>
      </c>
      <c r="S863" s="2">
        <v>33576</v>
      </c>
      <c r="T863" s="2">
        <v>20539</v>
      </c>
    </row>
    <row r="864" spans="14:20" x14ac:dyDescent="0.25">
      <c r="N864" t="s">
        <v>882</v>
      </c>
      <c r="O864" s="2">
        <v>12</v>
      </c>
      <c r="P864" s="5">
        <v>3.8765822784810125E-2</v>
      </c>
      <c r="R864" t="s">
        <v>882</v>
      </c>
      <c r="S864" s="2">
        <v>1717</v>
      </c>
      <c r="T864" s="2">
        <v>1264</v>
      </c>
    </row>
    <row r="865" spans="14:20" x14ac:dyDescent="0.25">
      <c r="N865" t="s">
        <v>883</v>
      </c>
      <c r="O865" s="2">
        <v>288</v>
      </c>
      <c r="P865" s="5">
        <v>5.1512398640691764E-2</v>
      </c>
      <c r="R865" t="s">
        <v>883</v>
      </c>
      <c r="S865" s="2">
        <v>70846</v>
      </c>
      <c r="T865" s="2">
        <v>29721</v>
      </c>
    </row>
    <row r="866" spans="14:20" x14ac:dyDescent="0.25">
      <c r="N866" t="s">
        <v>884</v>
      </c>
      <c r="O866" s="2">
        <v>62</v>
      </c>
      <c r="P866" s="5">
        <v>2.2783908864364544E-2</v>
      </c>
      <c r="R866" t="s">
        <v>884</v>
      </c>
      <c r="S866" s="2">
        <v>16001</v>
      </c>
      <c r="T866" s="2">
        <v>14045</v>
      </c>
    </row>
    <row r="867" spans="14:20" x14ac:dyDescent="0.25">
      <c r="N867" t="s">
        <v>885</v>
      </c>
      <c r="O867" s="2">
        <v>2340</v>
      </c>
      <c r="P867" s="5">
        <v>0.13355091765945615</v>
      </c>
      <c r="R867" t="s">
        <v>885</v>
      </c>
      <c r="S867" s="2">
        <v>222413</v>
      </c>
      <c r="T867" s="2">
        <v>136652</v>
      </c>
    </row>
    <row r="868" spans="14:20" x14ac:dyDescent="0.25">
      <c r="N868" t="s">
        <v>886</v>
      </c>
      <c r="O868" s="2">
        <v>5270</v>
      </c>
      <c r="P868" s="5">
        <v>0.13926233858128428</v>
      </c>
      <c r="R868" t="s">
        <v>886</v>
      </c>
      <c r="S868" s="2">
        <v>371354</v>
      </c>
      <c r="T868" s="2">
        <v>158284</v>
      </c>
    </row>
    <row r="869" spans="14:20" x14ac:dyDescent="0.25">
      <c r="N869" t="s">
        <v>887</v>
      </c>
      <c r="O869" s="2">
        <v>116</v>
      </c>
      <c r="P869" s="5">
        <v>2.8479600035711098E-2</v>
      </c>
      <c r="R869" t="s">
        <v>887</v>
      </c>
      <c r="S869" s="2">
        <v>19988</v>
      </c>
      <c r="T869" s="2">
        <v>11201</v>
      </c>
    </row>
    <row r="870" spans="14:20" x14ac:dyDescent="0.25">
      <c r="N870" t="s">
        <v>888</v>
      </c>
      <c r="O870" s="2">
        <v>22</v>
      </c>
      <c r="P870" s="5">
        <v>2.1491782553729456E-2</v>
      </c>
      <c r="R870" t="s">
        <v>888</v>
      </c>
      <c r="S870" s="2">
        <v>2183</v>
      </c>
      <c r="T870" s="2">
        <v>1582</v>
      </c>
    </row>
    <row r="871" spans="14:20" x14ac:dyDescent="0.25">
      <c r="N871" t="s">
        <v>889</v>
      </c>
      <c r="O871" s="2">
        <v>2710</v>
      </c>
      <c r="P871" s="5">
        <v>0.13494854288764022</v>
      </c>
      <c r="R871" t="s">
        <v>889</v>
      </c>
      <c r="S871" s="2">
        <v>447455</v>
      </c>
      <c r="T871" s="2">
        <v>248265</v>
      </c>
    </row>
    <row r="872" spans="14:20" x14ac:dyDescent="0.25">
      <c r="N872" t="s">
        <v>890</v>
      </c>
      <c r="O872" s="2">
        <v>7363</v>
      </c>
      <c r="P872" s="5">
        <v>0.18217789912981708</v>
      </c>
      <c r="R872" t="s">
        <v>890</v>
      </c>
      <c r="S872" s="2">
        <v>375754</v>
      </c>
      <c r="T872" s="2">
        <v>180192</v>
      </c>
    </row>
    <row r="873" spans="14:20" x14ac:dyDescent="0.25">
      <c r="N873" t="s">
        <v>891</v>
      </c>
      <c r="O873" s="2">
        <v>675</v>
      </c>
      <c r="P873" s="5">
        <v>4.451721046271391E-2</v>
      </c>
      <c r="R873" t="s">
        <v>891</v>
      </c>
      <c r="S873" s="2">
        <v>58711</v>
      </c>
      <c r="T873" s="2">
        <v>51306</v>
      </c>
    </row>
    <row r="874" spans="14:20" x14ac:dyDescent="0.25">
      <c r="N874" t="s">
        <v>892</v>
      </c>
      <c r="O874" s="2">
        <v>5573</v>
      </c>
      <c r="P874" s="5">
        <v>0.17316238263272293</v>
      </c>
      <c r="R874" t="s">
        <v>892</v>
      </c>
      <c r="S874" s="2">
        <v>315347</v>
      </c>
      <c r="T874" s="2">
        <v>113639</v>
      </c>
    </row>
    <row r="875" spans="14:20" x14ac:dyDescent="0.25">
      <c r="N875" t="s">
        <v>893</v>
      </c>
      <c r="O875" s="2">
        <v>10</v>
      </c>
      <c r="P875" s="5">
        <v>4.3478260869565216E-2</v>
      </c>
      <c r="R875" t="s">
        <v>893</v>
      </c>
      <c r="S875" s="2">
        <v>976</v>
      </c>
      <c r="T875" s="2">
        <v>644</v>
      </c>
    </row>
    <row r="876" spans="14:20" x14ac:dyDescent="0.25">
      <c r="N876" t="s">
        <v>894</v>
      </c>
      <c r="O876" s="2">
        <v>129</v>
      </c>
      <c r="P876" s="5">
        <v>2.5728309056364789E-2</v>
      </c>
      <c r="R876" t="s">
        <v>894</v>
      </c>
      <c r="S876" s="2">
        <v>19264</v>
      </c>
      <c r="T876" s="2">
        <v>12632</v>
      </c>
    </row>
    <row r="877" spans="14:20" x14ac:dyDescent="0.25">
      <c r="N877" t="s">
        <v>895</v>
      </c>
      <c r="O877" s="2">
        <v>3541</v>
      </c>
      <c r="P877" s="5">
        <v>8.6273811513834481E-2</v>
      </c>
      <c r="R877" t="s">
        <v>895</v>
      </c>
      <c r="S877" s="2">
        <v>476942</v>
      </c>
      <c r="T877" s="2">
        <v>275182</v>
      </c>
    </row>
    <row r="878" spans="14:20" x14ac:dyDescent="0.25">
      <c r="N878" t="s">
        <v>896</v>
      </c>
      <c r="O878" s="2">
        <v>115</v>
      </c>
      <c r="P878" s="5">
        <v>3.851516207737888E-2</v>
      </c>
      <c r="R878" t="s">
        <v>896</v>
      </c>
      <c r="S878" s="2">
        <v>13582</v>
      </c>
      <c r="T878" s="2">
        <v>5738</v>
      </c>
    </row>
    <row r="879" spans="14:20" x14ac:dyDescent="0.25">
      <c r="N879" t="s">
        <v>897</v>
      </c>
      <c r="O879" s="2">
        <v>149</v>
      </c>
      <c r="P879" s="5">
        <v>5.0292153589315526E-2</v>
      </c>
      <c r="R879" t="s">
        <v>897</v>
      </c>
      <c r="S879" s="2">
        <v>28843</v>
      </c>
      <c r="T879" s="2">
        <v>19168</v>
      </c>
    </row>
    <row r="880" spans="14:20" x14ac:dyDescent="0.25">
      <c r="N880" t="s">
        <v>898</v>
      </c>
      <c r="O880" s="2">
        <v>392</v>
      </c>
      <c r="P880" s="5">
        <v>6.8283390724595203E-2</v>
      </c>
      <c r="R880" t="s">
        <v>898</v>
      </c>
      <c r="S880" s="2">
        <v>29866</v>
      </c>
      <c r="T880" s="2">
        <v>13649</v>
      </c>
    </row>
    <row r="881" spans="14:20" x14ac:dyDescent="0.25">
      <c r="N881" t="s">
        <v>899</v>
      </c>
      <c r="O881" s="2">
        <v>252</v>
      </c>
      <c r="P881" s="5">
        <v>4.1458449009809363E-2</v>
      </c>
      <c r="R881" t="s">
        <v>899</v>
      </c>
      <c r="S881" s="2">
        <v>29825</v>
      </c>
      <c r="T881" s="2">
        <v>16209</v>
      </c>
    </row>
    <row r="882" spans="14:20" x14ac:dyDescent="0.25">
      <c r="N882" t="s">
        <v>900</v>
      </c>
      <c r="O882" s="2">
        <v>43</v>
      </c>
      <c r="P882" s="5">
        <v>2.9205793410791023E-2</v>
      </c>
      <c r="R882" t="s">
        <v>900</v>
      </c>
      <c r="S882" s="2">
        <v>22627</v>
      </c>
      <c r="T882" s="2">
        <v>12566</v>
      </c>
    </row>
    <row r="883" spans="14:20" x14ac:dyDescent="0.25">
      <c r="N883" t="s">
        <v>901</v>
      </c>
      <c r="O883" s="2">
        <v>14</v>
      </c>
      <c r="P883" s="5">
        <v>3.5404141616566465E-2</v>
      </c>
      <c r="R883" t="s">
        <v>901</v>
      </c>
      <c r="S883" s="2">
        <v>3548</v>
      </c>
      <c r="T883" s="2">
        <v>2994</v>
      </c>
    </row>
    <row r="884" spans="14:20" x14ac:dyDescent="0.25">
      <c r="N884" t="s">
        <v>902</v>
      </c>
      <c r="O884" s="2">
        <v>71</v>
      </c>
      <c r="P884" s="5">
        <v>6.8595041322314046E-2</v>
      </c>
      <c r="R884" t="s">
        <v>902</v>
      </c>
      <c r="S884" s="2">
        <v>25939</v>
      </c>
      <c r="T884" s="2">
        <v>10890</v>
      </c>
    </row>
    <row r="885" spans="14:20" x14ac:dyDescent="0.25">
      <c r="N885" t="s">
        <v>903</v>
      </c>
      <c r="O885" s="2">
        <v>54</v>
      </c>
      <c r="P885" s="5">
        <v>5.5530474040632057E-2</v>
      </c>
      <c r="R885" t="s">
        <v>903</v>
      </c>
      <c r="S885" s="2">
        <v>5443</v>
      </c>
      <c r="T885" s="2">
        <v>2215</v>
      </c>
    </row>
    <row r="886" spans="14:20" x14ac:dyDescent="0.25">
      <c r="N886" t="s">
        <v>904</v>
      </c>
      <c r="O886" s="2">
        <v>76</v>
      </c>
      <c r="P886" s="5">
        <v>7.1671713970467399E-2</v>
      </c>
      <c r="R886" t="s">
        <v>904</v>
      </c>
      <c r="S886" s="2">
        <v>66171</v>
      </c>
      <c r="T886" s="2">
        <v>42597</v>
      </c>
    </row>
    <row r="887" spans="14:20" x14ac:dyDescent="0.25">
      <c r="N887" t="s">
        <v>905</v>
      </c>
      <c r="O887" s="2">
        <v>39</v>
      </c>
      <c r="P887" s="5">
        <v>3.0777441736345845E-2</v>
      </c>
      <c r="R887" t="s">
        <v>905</v>
      </c>
      <c r="S887" s="2">
        <v>16428</v>
      </c>
      <c r="T887" s="2">
        <v>5621</v>
      </c>
    </row>
    <row r="888" spans="14:20" x14ac:dyDescent="0.25">
      <c r="N888" t="s">
        <v>906</v>
      </c>
      <c r="O888" s="2">
        <v>194</v>
      </c>
      <c r="P888" s="5">
        <v>8.2025953902769705E-2</v>
      </c>
      <c r="R888" t="s">
        <v>906</v>
      </c>
      <c r="S888" s="2">
        <v>33748</v>
      </c>
      <c r="T888" s="2">
        <v>20652</v>
      </c>
    </row>
    <row r="889" spans="14:20" x14ac:dyDescent="0.25">
      <c r="N889" t="s">
        <v>907</v>
      </c>
      <c r="O889" s="2">
        <v>3944</v>
      </c>
      <c r="P889" s="5">
        <v>0.12103703878567551</v>
      </c>
      <c r="R889" t="s">
        <v>907</v>
      </c>
      <c r="S889" s="2">
        <v>257884</v>
      </c>
      <c r="T889" s="2">
        <v>169444</v>
      </c>
    </row>
    <row r="890" spans="14:20" x14ac:dyDescent="0.25">
      <c r="N890" t="s">
        <v>908</v>
      </c>
      <c r="O890" s="2">
        <v>178</v>
      </c>
      <c r="P890" s="5">
        <v>3.157248516385535E-2</v>
      </c>
      <c r="R890" t="s">
        <v>908</v>
      </c>
      <c r="S890" s="2">
        <v>45413</v>
      </c>
      <c r="T890" s="2">
        <v>34207</v>
      </c>
    </row>
    <row r="891" spans="14:20" x14ac:dyDescent="0.25">
      <c r="N891" t="s">
        <v>909</v>
      </c>
      <c r="O891" s="2">
        <v>6</v>
      </c>
      <c r="P891" s="5">
        <v>2.6987600291757841E-2</v>
      </c>
      <c r="R891" t="s">
        <v>909</v>
      </c>
      <c r="S891" s="2">
        <v>1754</v>
      </c>
      <c r="T891" s="2">
        <v>1371</v>
      </c>
    </row>
    <row r="892" spans="14:20" x14ac:dyDescent="0.25">
      <c r="N892" t="s">
        <v>910</v>
      </c>
      <c r="O892" s="2">
        <v>2</v>
      </c>
      <c r="P892" s="5">
        <v>3.2258064516129031E-2</v>
      </c>
      <c r="R892" t="s">
        <v>910</v>
      </c>
      <c r="S892" s="2">
        <v>276</v>
      </c>
      <c r="T892" s="2">
        <v>248</v>
      </c>
    </row>
    <row r="893" spans="14:20" x14ac:dyDescent="0.25">
      <c r="N893" t="s">
        <v>911</v>
      </c>
      <c r="O893" s="2">
        <v>145</v>
      </c>
      <c r="P893" s="5">
        <v>4.7569027611044416E-2</v>
      </c>
      <c r="R893" t="s">
        <v>911</v>
      </c>
      <c r="S893" s="2">
        <v>15505</v>
      </c>
      <c r="T893" s="2">
        <v>6664</v>
      </c>
    </row>
    <row r="894" spans="14:20" x14ac:dyDescent="0.25">
      <c r="N894" t="s">
        <v>912</v>
      </c>
      <c r="O894" s="2">
        <v>68</v>
      </c>
      <c r="P894" s="5">
        <v>2.532504239683437E-2</v>
      </c>
      <c r="R894" t="s">
        <v>912</v>
      </c>
      <c r="S894" s="2">
        <v>14933</v>
      </c>
      <c r="T894" s="2">
        <v>8845</v>
      </c>
    </row>
    <row r="895" spans="14:20" x14ac:dyDescent="0.25">
      <c r="N895" t="s">
        <v>913</v>
      </c>
      <c r="O895" s="2">
        <v>2081</v>
      </c>
      <c r="P895" s="5">
        <v>0.10960328110529399</v>
      </c>
      <c r="R895" t="s">
        <v>913</v>
      </c>
      <c r="S895" s="2">
        <v>81936</v>
      </c>
      <c r="T895" s="2">
        <v>52909</v>
      </c>
    </row>
    <row r="896" spans="14:20" x14ac:dyDescent="0.25">
      <c r="N896" t="s">
        <v>914</v>
      </c>
      <c r="O896" s="2">
        <v>120</v>
      </c>
      <c r="P896" s="5">
        <v>8.7862920077685175E-2</v>
      </c>
      <c r="R896" t="s">
        <v>914</v>
      </c>
      <c r="S896" s="2">
        <v>57977</v>
      </c>
      <c r="T896" s="2">
        <v>40677</v>
      </c>
    </row>
    <row r="897" spans="14:20" x14ac:dyDescent="0.25">
      <c r="N897" t="s">
        <v>915</v>
      </c>
      <c r="O897" s="2">
        <v>138</v>
      </c>
      <c r="P897" s="5">
        <v>5.3568561980287026E-2</v>
      </c>
      <c r="R897" t="s">
        <v>915</v>
      </c>
      <c r="S897" s="2">
        <v>89229</v>
      </c>
      <c r="T897" s="2">
        <v>62294</v>
      </c>
    </row>
    <row r="898" spans="14:20" x14ac:dyDescent="0.25">
      <c r="N898" t="s">
        <v>916</v>
      </c>
      <c r="O898" s="2">
        <v>17</v>
      </c>
      <c r="P898" s="5">
        <v>5.1948051948051951E-2</v>
      </c>
      <c r="R898" t="s">
        <v>916</v>
      </c>
      <c r="S898" s="2">
        <v>4496</v>
      </c>
      <c r="T898" s="2">
        <v>2387</v>
      </c>
    </row>
    <row r="899" spans="14:20" x14ac:dyDescent="0.25">
      <c r="N899" t="s">
        <v>917</v>
      </c>
      <c r="O899" s="2">
        <v>1019</v>
      </c>
      <c r="P899" s="5">
        <v>0.16011242820481486</v>
      </c>
      <c r="R899" t="s">
        <v>917</v>
      </c>
      <c r="S899" s="2">
        <v>114649</v>
      </c>
      <c r="T899" s="2">
        <v>40915</v>
      </c>
    </row>
    <row r="900" spans="14:20" x14ac:dyDescent="0.25">
      <c r="N900" t="s">
        <v>918</v>
      </c>
      <c r="O900" s="2">
        <v>121</v>
      </c>
      <c r="P900" s="5">
        <v>8.4836989952839864E-2</v>
      </c>
      <c r="R900" t="s">
        <v>918</v>
      </c>
      <c r="S900" s="2">
        <v>57763</v>
      </c>
      <c r="T900" s="2">
        <v>39016</v>
      </c>
    </row>
    <row r="901" spans="14:20" x14ac:dyDescent="0.25">
      <c r="N901" t="s">
        <v>919</v>
      </c>
      <c r="O901" s="2">
        <v>28</v>
      </c>
      <c r="P901" s="5">
        <v>3.7089668892994171E-2</v>
      </c>
      <c r="R901" t="s">
        <v>919</v>
      </c>
      <c r="S901" s="2">
        <v>13664</v>
      </c>
      <c r="T901" s="2">
        <v>7037</v>
      </c>
    </row>
    <row r="902" spans="14:20" x14ac:dyDescent="0.25">
      <c r="N902" t="s">
        <v>920</v>
      </c>
      <c r="O902" s="2">
        <v>1102</v>
      </c>
      <c r="P902" s="5">
        <v>5.8560781797542073E-2</v>
      </c>
      <c r="R902" t="s">
        <v>920</v>
      </c>
      <c r="S902" s="2">
        <v>64115</v>
      </c>
      <c r="T902" s="2">
        <v>40522</v>
      </c>
    </row>
    <row r="903" spans="14:20" x14ac:dyDescent="0.25">
      <c r="N903" t="s">
        <v>921</v>
      </c>
      <c r="O903" s="2">
        <v>1562</v>
      </c>
      <c r="P903" s="5">
        <v>0.10970064418340281</v>
      </c>
      <c r="R903" t="s">
        <v>921</v>
      </c>
      <c r="S903" s="2">
        <v>90328</v>
      </c>
      <c r="T903" s="2">
        <v>42224</v>
      </c>
    </row>
    <row r="904" spans="14:20" x14ac:dyDescent="0.25">
      <c r="N904" t="s">
        <v>922</v>
      </c>
      <c r="O904" s="2">
        <v>87</v>
      </c>
      <c r="P904" s="5">
        <v>6.0074951735624785E-2</v>
      </c>
      <c r="R904" t="s">
        <v>922</v>
      </c>
      <c r="S904" s="2">
        <v>35571</v>
      </c>
      <c r="T904" s="2">
        <v>26417</v>
      </c>
    </row>
    <row r="905" spans="14:20" x14ac:dyDescent="0.25">
      <c r="N905" t="s">
        <v>923</v>
      </c>
      <c r="O905" s="2">
        <v>58</v>
      </c>
      <c r="P905" s="5">
        <v>7.8187973561180069E-2</v>
      </c>
      <c r="R905" t="s">
        <v>923</v>
      </c>
      <c r="S905" s="2">
        <v>40905</v>
      </c>
      <c r="T905" s="2">
        <v>31015</v>
      </c>
    </row>
    <row r="906" spans="14:20" x14ac:dyDescent="0.25">
      <c r="N906" t="s">
        <v>924</v>
      </c>
      <c r="O906" s="2">
        <v>164</v>
      </c>
      <c r="P906" s="5">
        <v>7.7485121678156854E-2</v>
      </c>
      <c r="R906" t="s">
        <v>924</v>
      </c>
      <c r="S906" s="2">
        <v>28847</v>
      </c>
      <c r="T906" s="2">
        <v>16971</v>
      </c>
    </row>
    <row r="907" spans="14:20" x14ac:dyDescent="0.25">
      <c r="N907" t="s">
        <v>925</v>
      </c>
      <c r="O907" s="2">
        <v>45</v>
      </c>
      <c r="P907" s="5">
        <v>6.0726072607260727E-2</v>
      </c>
      <c r="R907" t="s">
        <v>925</v>
      </c>
      <c r="S907" s="2">
        <v>4581</v>
      </c>
      <c r="T907" s="2">
        <v>1515</v>
      </c>
    </row>
    <row r="908" spans="14:20" x14ac:dyDescent="0.25">
      <c r="N908" t="s">
        <v>926</v>
      </c>
      <c r="O908" s="2">
        <v>3519</v>
      </c>
      <c r="P908" s="5">
        <v>0.10815236268007476</v>
      </c>
      <c r="R908" t="s">
        <v>926</v>
      </c>
      <c r="S908" s="2">
        <v>231187</v>
      </c>
      <c r="T908" s="2">
        <v>120922</v>
      </c>
    </row>
    <row r="909" spans="14:20" x14ac:dyDescent="0.25">
      <c r="N909" t="s">
        <v>927</v>
      </c>
      <c r="O909" s="2">
        <v>67</v>
      </c>
      <c r="P909" s="5">
        <v>5.2903225806451612E-2</v>
      </c>
      <c r="R909" t="s">
        <v>927</v>
      </c>
      <c r="S909" s="2">
        <v>19046</v>
      </c>
      <c r="T909" s="2">
        <v>10075</v>
      </c>
    </row>
    <row r="910" spans="14:20" x14ac:dyDescent="0.25">
      <c r="N910" t="s">
        <v>928</v>
      </c>
      <c r="O910" s="2">
        <v>85</v>
      </c>
      <c r="P910" s="5">
        <v>9.3178192737168056E-2</v>
      </c>
      <c r="R910" t="s">
        <v>928</v>
      </c>
      <c r="S910" s="2">
        <v>24051</v>
      </c>
      <c r="T910" s="2">
        <v>10657</v>
      </c>
    </row>
    <row r="911" spans="14:20" x14ac:dyDescent="0.25">
      <c r="N911" t="s">
        <v>929</v>
      </c>
      <c r="O911" s="2">
        <v>84</v>
      </c>
      <c r="P911" s="5">
        <v>5.2324685332648342E-2</v>
      </c>
      <c r="R911" t="s">
        <v>929</v>
      </c>
      <c r="S911" s="2">
        <v>72929</v>
      </c>
      <c r="T911" s="2">
        <v>38930</v>
      </c>
    </row>
    <row r="912" spans="14:20" x14ac:dyDescent="0.25">
      <c r="N912" t="s">
        <v>930</v>
      </c>
      <c r="O912" s="2">
        <v>1104</v>
      </c>
      <c r="P912" s="5">
        <v>7.6769078824440118E-2</v>
      </c>
      <c r="R912" t="s">
        <v>930</v>
      </c>
      <c r="S912" s="2">
        <v>53676</v>
      </c>
      <c r="T912" s="2">
        <v>37463</v>
      </c>
    </row>
    <row r="913" spans="14:20" x14ac:dyDescent="0.25">
      <c r="N913" t="s">
        <v>931</v>
      </c>
      <c r="O913" s="2">
        <v>214</v>
      </c>
      <c r="P913" s="5">
        <v>4.9958953911105899E-2</v>
      </c>
      <c r="R913" t="s">
        <v>931</v>
      </c>
      <c r="S913" s="2">
        <v>71115</v>
      </c>
      <c r="T913" s="2">
        <v>34108</v>
      </c>
    </row>
    <row r="914" spans="14:20" x14ac:dyDescent="0.25">
      <c r="N914" t="s">
        <v>932</v>
      </c>
      <c r="O914" s="2">
        <v>995</v>
      </c>
      <c r="P914" s="5">
        <v>0.18024279933349202</v>
      </c>
      <c r="R914" t="s">
        <v>932</v>
      </c>
      <c r="S914" s="2">
        <v>37114</v>
      </c>
      <c r="T914" s="2">
        <v>21005</v>
      </c>
    </row>
    <row r="915" spans="14:20" x14ac:dyDescent="0.25">
      <c r="N915" t="s">
        <v>933</v>
      </c>
      <c r="O915" s="2">
        <v>8</v>
      </c>
      <c r="P915" s="5">
        <v>6.4340239912759001E-2</v>
      </c>
      <c r="R915" t="s">
        <v>933</v>
      </c>
      <c r="S915" s="2">
        <v>2081</v>
      </c>
      <c r="T915" s="2">
        <v>917</v>
      </c>
    </row>
    <row r="916" spans="14:20" x14ac:dyDescent="0.25">
      <c r="N916" t="s">
        <v>934</v>
      </c>
      <c r="O916" s="2">
        <v>8</v>
      </c>
      <c r="P916" s="5">
        <v>3.0340557275541795E-2</v>
      </c>
      <c r="R916" t="s">
        <v>934</v>
      </c>
      <c r="S916" s="2">
        <v>1845</v>
      </c>
      <c r="T916" s="2">
        <v>1615</v>
      </c>
    </row>
    <row r="917" spans="14:20" x14ac:dyDescent="0.25">
      <c r="N917" t="s">
        <v>935</v>
      </c>
      <c r="O917" s="2">
        <v>32</v>
      </c>
      <c r="P917" s="5">
        <v>4.4228094575799723E-2</v>
      </c>
      <c r="R917" t="s">
        <v>935</v>
      </c>
      <c r="S917" s="2">
        <v>4817</v>
      </c>
      <c r="T917" s="2">
        <v>3595</v>
      </c>
    </row>
    <row r="918" spans="14:20" x14ac:dyDescent="0.25">
      <c r="N918" t="s">
        <v>936</v>
      </c>
      <c r="O918" s="2">
        <v>1685</v>
      </c>
      <c r="P918" s="5">
        <v>0.14193670096211056</v>
      </c>
      <c r="R918" t="s">
        <v>936</v>
      </c>
      <c r="S918" s="2">
        <v>128853</v>
      </c>
      <c r="T918" s="2">
        <v>68911</v>
      </c>
    </row>
    <row r="919" spans="14:20" x14ac:dyDescent="0.25">
      <c r="N919" t="s">
        <v>937</v>
      </c>
      <c r="O919" s="2">
        <v>132</v>
      </c>
      <c r="P919" s="5">
        <v>5.553879797903627E-2</v>
      </c>
      <c r="R919" t="s">
        <v>937</v>
      </c>
      <c r="S919" s="2">
        <v>57654</v>
      </c>
      <c r="T919" s="2">
        <v>26522</v>
      </c>
    </row>
    <row r="920" spans="14:20" x14ac:dyDescent="0.25">
      <c r="N920" t="s">
        <v>938</v>
      </c>
      <c r="O920" s="2">
        <v>1001</v>
      </c>
      <c r="P920" s="5">
        <v>0.14836944127708096</v>
      </c>
      <c r="R920" t="s">
        <v>938</v>
      </c>
      <c r="S920" s="2">
        <v>47053</v>
      </c>
      <c r="T920" s="2">
        <v>21925</v>
      </c>
    </row>
    <row r="921" spans="14:20" x14ac:dyDescent="0.25">
      <c r="N921" t="s">
        <v>939</v>
      </c>
      <c r="O921" s="2">
        <v>5092</v>
      </c>
      <c r="P921" s="5">
        <v>7.601118906359268E-2</v>
      </c>
      <c r="R921" t="s">
        <v>939</v>
      </c>
      <c r="S921" s="2">
        <v>350053</v>
      </c>
      <c r="T921" s="2">
        <v>177316</v>
      </c>
    </row>
    <row r="922" spans="14:20" x14ac:dyDescent="0.25">
      <c r="N922" t="s">
        <v>940</v>
      </c>
      <c r="O922" s="2">
        <v>758</v>
      </c>
      <c r="P922" s="5">
        <v>6.941128036228901E-2</v>
      </c>
      <c r="R922" t="s">
        <v>940</v>
      </c>
      <c r="S922" s="2">
        <v>129192</v>
      </c>
      <c r="T922" s="2">
        <v>60725</v>
      </c>
    </row>
    <row r="923" spans="14:20" x14ac:dyDescent="0.25">
      <c r="N923" t="s">
        <v>941</v>
      </c>
      <c r="O923" s="2">
        <v>1721</v>
      </c>
      <c r="P923" s="5">
        <v>0.10587764076255081</v>
      </c>
      <c r="R923" t="s">
        <v>941</v>
      </c>
      <c r="S923" s="2">
        <v>289201</v>
      </c>
      <c r="T923" s="2">
        <v>117343</v>
      </c>
    </row>
    <row r="924" spans="14:20" x14ac:dyDescent="0.25">
      <c r="N924" t="s">
        <v>942</v>
      </c>
      <c r="O924" s="2">
        <v>109</v>
      </c>
      <c r="P924" s="5">
        <v>6.8736372131658188E-2</v>
      </c>
      <c r="R924" t="s">
        <v>942</v>
      </c>
      <c r="S924" s="2">
        <v>14173</v>
      </c>
      <c r="T924" s="2">
        <v>9631</v>
      </c>
    </row>
    <row r="925" spans="14:20" x14ac:dyDescent="0.25">
      <c r="N925" t="s">
        <v>943</v>
      </c>
      <c r="O925" s="2">
        <v>340</v>
      </c>
      <c r="P925" s="5">
        <v>4.4697448872021928E-2</v>
      </c>
      <c r="R925" t="s">
        <v>943</v>
      </c>
      <c r="S925" s="2">
        <v>47814</v>
      </c>
      <c r="T925" s="2">
        <v>18972</v>
      </c>
    </row>
    <row r="926" spans="14:20" x14ac:dyDescent="0.25">
      <c r="N926" t="s">
        <v>944</v>
      </c>
      <c r="O926" s="2">
        <v>8</v>
      </c>
      <c r="P926" s="5">
        <v>9.6133751306165097E-2</v>
      </c>
      <c r="R926" t="s">
        <v>944</v>
      </c>
      <c r="S926" s="2">
        <v>1353</v>
      </c>
      <c r="T926" s="2">
        <v>957</v>
      </c>
    </row>
    <row r="927" spans="14:20" x14ac:dyDescent="0.25">
      <c r="N927" t="s">
        <v>945</v>
      </c>
      <c r="O927" s="2">
        <v>166</v>
      </c>
      <c r="P927" s="5">
        <v>8.4189085971314609E-2</v>
      </c>
      <c r="R927" t="s">
        <v>945</v>
      </c>
      <c r="S927" s="2">
        <v>16306</v>
      </c>
      <c r="T927" s="2">
        <v>11783</v>
      </c>
    </row>
    <row r="928" spans="14:20" x14ac:dyDescent="0.25">
      <c r="N928" t="s">
        <v>946</v>
      </c>
      <c r="O928" s="2">
        <v>49</v>
      </c>
      <c r="P928" s="5">
        <v>3.2812365080735685E-2</v>
      </c>
      <c r="R928" t="s">
        <v>946</v>
      </c>
      <c r="S928" s="2">
        <v>69358</v>
      </c>
      <c r="T928" s="2">
        <v>34743</v>
      </c>
    </row>
    <row r="929" spans="14:20" x14ac:dyDescent="0.25">
      <c r="N929" t="s">
        <v>947</v>
      </c>
      <c r="O929" s="2">
        <v>172</v>
      </c>
      <c r="P929" s="5">
        <v>6.2452830188679247E-2</v>
      </c>
      <c r="R929" t="s">
        <v>947</v>
      </c>
      <c r="S929" s="2">
        <v>39610</v>
      </c>
      <c r="T929" s="2">
        <v>15900</v>
      </c>
    </row>
    <row r="930" spans="14:20" x14ac:dyDescent="0.25">
      <c r="N930" t="s">
        <v>948</v>
      </c>
      <c r="O930" s="2">
        <v>185</v>
      </c>
      <c r="P930" s="5">
        <v>3.4025921774865651E-2</v>
      </c>
      <c r="R930" t="s">
        <v>948</v>
      </c>
      <c r="S930" s="2">
        <v>47145</v>
      </c>
      <c r="T930" s="2">
        <v>34797</v>
      </c>
    </row>
    <row r="931" spans="14:20" x14ac:dyDescent="0.25">
      <c r="N931" t="s">
        <v>949</v>
      </c>
      <c r="O931" s="2">
        <v>2</v>
      </c>
      <c r="P931" s="5">
        <v>8.1264108352144468E-2</v>
      </c>
      <c r="R931" t="s">
        <v>949</v>
      </c>
      <c r="S931" s="2">
        <v>1328</v>
      </c>
      <c r="T931" s="2">
        <v>886</v>
      </c>
    </row>
    <row r="932" spans="14:20" x14ac:dyDescent="0.25">
      <c r="N932" t="s">
        <v>950</v>
      </c>
      <c r="O932" s="2">
        <v>565</v>
      </c>
      <c r="P932" s="5">
        <v>7.590503451759556E-2</v>
      </c>
      <c r="R932" t="s">
        <v>950</v>
      </c>
      <c r="S932" s="2">
        <v>44711</v>
      </c>
      <c r="T932" s="2">
        <v>29695</v>
      </c>
    </row>
    <row r="933" spans="14:20" x14ac:dyDescent="0.25">
      <c r="N933" t="s">
        <v>951</v>
      </c>
      <c r="O933" s="2">
        <v>31</v>
      </c>
      <c r="P933" s="5">
        <v>6.6605208573404004E-2</v>
      </c>
      <c r="R933" t="s">
        <v>951</v>
      </c>
      <c r="S933" s="2">
        <v>9790</v>
      </c>
      <c r="T933" s="2">
        <v>4339</v>
      </c>
    </row>
    <row r="934" spans="14:20" x14ac:dyDescent="0.25">
      <c r="N934" t="s">
        <v>952</v>
      </c>
      <c r="O934" s="2">
        <v>426</v>
      </c>
      <c r="P934" s="5">
        <v>6.1773573136500677E-2</v>
      </c>
      <c r="R934" t="s">
        <v>952</v>
      </c>
      <c r="S934" s="2">
        <v>82927</v>
      </c>
      <c r="T934" s="2">
        <v>48095</v>
      </c>
    </row>
    <row r="935" spans="14:20" x14ac:dyDescent="0.25">
      <c r="N935" t="s">
        <v>953</v>
      </c>
      <c r="O935" s="2">
        <v>204</v>
      </c>
      <c r="P935" s="5">
        <v>6.7791093923498108E-2</v>
      </c>
      <c r="R935" t="s">
        <v>953</v>
      </c>
      <c r="S935" s="2">
        <v>68786</v>
      </c>
      <c r="T935" s="2">
        <v>52234</v>
      </c>
    </row>
    <row r="936" spans="14:20" x14ac:dyDescent="0.25">
      <c r="N936" t="s">
        <v>954</v>
      </c>
      <c r="O936" s="2">
        <v>338</v>
      </c>
      <c r="P936" s="5">
        <v>7.4315718914087808E-2</v>
      </c>
      <c r="R936" t="s">
        <v>954</v>
      </c>
      <c r="S936" s="2">
        <v>79894</v>
      </c>
      <c r="T936" s="2">
        <v>44755</v>
      </c>
    </row>
    <row r="937" spans="14:20" x14ac:dyDescent="0.25">
      <c r="N937" t="s">
        <v>955</v>
      </c>
      <c r="O937" s="2">
        <v>4133</v>
      </c>
      <c r="P937" s="5">
        <v>9.5352785362910239E-2</v>
      </c>
      <c r="R937" t="s">
        <v>955</v>
      </c>
      <c r="S937" s="2">
        <v>373146</v>
      </c>
      <c r="T937" s="2">
        <v>195558</v>
      </c>
    </row>
    <row r="938" spans="14:20" x14ac:dyDescent="0.25">
      <c r="N938" t="s">
        <v>956</v>
      </c>
      <c r="O938" s="2">
        <v>246</v>
      </c>
      <c r="P938" s="5">
        <v>6.7826977220373688E-2</v>
      </c>
      <c r="R938" t="s">
        <v>956</v>
      </c>
      <c r="S938" s="2">
        <v>28164</v>
      </c>
      <c r="T938" s="2">
        <v>11721</v>
      </c>
    </row>
    <row r="939" spans="14:20" x14ac:dyDescent="0.25">
      <c r="N939" t="s">
        <v>957</v>
      </c>
      <c r="O939" s="2">
        <v>20</v>
      </c>
      <c r="P939" s="5">
        <v>4.1101202016285379E-2</v>
      </c>
      <c r="R939" t="s">
        <v>957</v>
      </c>
      <c r="S939" s="2">
        <v>4663</v>
      </c>
      <c r="T939" s="2">
        <v>2579</v>
      </c>
    </row>
    <row r="940" spans="14:20" x14ac:dyDescent="0.25">
      <c r="N940" t="s">
        <v>958</v>
      </c>
      <c r="O940" s="2">
        <v>32</v>
      </c>
      <c r="P940" s="5">
        <v>6.2790540995755581E-2</v>
      </c>
      <c r="R940" t="s">
        <v>958</v>
      </c>
      <c r="S940" s="2">
        <v>23546</v>
      </c>
      <c r="T940" s="2">
        <v>14843</v>
      </c>
    </row>
    <row r="941" spans="14:20" x14ac:dyDescent="0.25">
      <c r="N941" t="s">
        <v>959</v>
      </c>
      <c r="O941" s="2">
        <v>147</v>
      </c>
      <c r="P941" s="5">
        <v>4.3865126443958791E-2</v>
      </c>
      <c r="R941" t="s">
        <v>959</v>
      </c>
      <c r="S941" s="2">
        <v>9924</v>
      </c>
      <c r="T941" s="2">
        <v>6406</v>
      </c>
    </row>
    <row r="942" spans="14:20" x14ac:dyDescent="0.25">
      <c r="N942" t="s">
        <v>960</v>
      </c>
      <c r="O942" s="2">
        <v>436</v>
      </c>
      <c r="P942" s="5">
        <v>0.1569261248110109</v>
      </c>
      <c r="R942" t="s">
        <v>960</v>
      </c>
      <c r="S942" s="2">
        <v>39904</v>
      </c>
      <c r="T942" s="2">
        <v>19181</v>
      </c>
    </row>
    <row r="943" spans="14:20" x14ac:dyDescent="0.25">
      <c r="N943" t="s">
        <v>961</v>
      </c>
      <c r="O943" s="2">
        <v>169</v>
      </c>
      <c r="P943" s="5">
        <v>5.0296462891024331E-2</v>
      </c>
      <c r="R943" t="s">
        <v>961</v>
      </c>
      <c r="S943" s="2">
        <v>22877</v>
      </c>
      <c r="T943" s="2">
        <v>9782</v>
      </c>
    </row>
    <row r="944" spans="14:20" x14ac:dyDescent="0.25">
      <c r="N944" t="s">
        <v>962</v>
      </c>
      <c r="O944" s="2">
        <v>2569</v>
      </c>
      <c r="P944" s="5">
        <v>8.3785545023696686E-2</v>
      </c>
      <c r="R944" t="s">
        <v>962</v>
      </c>
      <c r="S944" s="2">
        <v>252248</v>
      </c>
      <c r="T944" s="2">
        <v>168800</v>
      </c>
    </row>
    <row r="945" spans="14:20" x14ac:dyDescent="0.25">
      <c r="N945" t="s">
        <v>963</v>
      </c>
      <c r="O945" s="2">
        <v>44</v>
      </c>
      <c r="P945" s="5">
        <v>2.9651912333476579E-2</v>
      </c>
      <c r="R945" t="s">
        <v>963</v>
      </c>
      <c r="S945" s="2">
        <v>16226</v>
      </c>
      <c r="T945" s="2">
        <v>13962</v>
      </c>
    </row>
    <row r="946" spans="14:20" x14ac:dyDescent="0.25">
      <c r="N946" t="s">
        <v>964</v>
      </c>
      <c r="O946" s="2">
        <v>27</v>
      </c>
      <c r="P946" s="5">
        <v>4.2571186918522692E-2</v>
      </c>
      <c r="R946" t="s">
        <v>964</v>
      </c>
      <c r="S946" s="2">
        <v>5362</v>
      </c>
      <c r="T946" s="2">
        <v>3547</v>
      </c>
    </row>
    <row r="947" spans="14:20" x14ac:dyDescent="0.25">
      <c r="N947" t="s">
        <v>965</v>
      </c>
      <c r="O947" s="2">
        <v>362</v>
      </c>
      <c r="P947" s="5">
        <v>6.5616055969753714E-2</v>
      </c>
      <c r="R947" t="s">
        <v>965</v>
      </c>
      <c r="S947" s="2">
        <v>43568</v>
      </c>
      <c r="T947" s="2">
        <v>28301</v>
      </c>
    </row>
    <row r="948" spans="14:20" x14ac:dyDescent="0.25">
      <c r="N948" t="s">
        <v>966</v>
      </c>
      <c r="O948" s="2">
        <v>23</v>
      </c>
      <c r="P948" s="5">
        <v>5.1206784083496409E-2</v>
      </c>
      <c r="R948" t="s">
        <v>966</v>
      </c>
      <c r="S948" s="2">
        <v>7280</v>
      </c>
      <c r="T948" s="2">
        <v>3066</v>
      </c>
    </row>
    <row r="949" spans="14:20" x14ac:dyDescent="0.25">
      <c r="N949" t="s">
        <v>967</v>
      </c>
      <c r="O949" s="2">
        <v>24</v>
      </c>
      <c r="P949" s="5">
        <v>2.2456770716370984E-2</v>
      </c>
      <c r="R949" t="s">
        <v>967</v>
      </c>
      <c r="S949" s="2">
        <v>10413</v>
      </c>
      <c r="T949" s="2">
        <v>8906</v>
      </c>
    </row>
    <row r="950" spans="14:20" x14ac:dyDescent="0.25">
      <c r="N950" t="s">
        <v>968</v>
      </c>
      <c r="O950" s="2">
        <v>53</v>
      </c>
      <c r="P950" s="5">
        <v>5.8413461538461539E-2</v>
      </c>
      <c r="R950" t="s">
        <v>968</v>
      </c>
      <c r="S950" s="2">
        <v>15038</v>
      </c>
      <c r="T950" s="2">
        <v>8320</v>
      </c>
    </row>
    <row r="951" spans="14:20" x14ac:dyDescent="0.25">
      <c r="N951" t="s">
        <v>969</v>
      </c>
      <c r="O951" s="2">
        <v>4264</v>
      </c>
      <c r="P951" s="5">
        <v>0.17913952352751716</v>
      </c>
      <c r="R951" t="s">
        <v>969</v>
      </c>
      <c r="S951" s="2">
        <v>245722</v>
      </c>
      <c r="T951" s="2">
        <v>96249</v>
      </c>
    </row>
    <row r="952" spans="14:20" x14ac:dyDescent="0.25">
      <c r="N952" t="s">
        <v>970</v>
      </c>
      <c r="O952" s="2">
        <v>61</v>
      </c>
      <c r="P952" s="5">
        <v>2.322007853850094E-2</v>
      </c>
      <c r="R952" t="s">
        <v>970</v>
      </c>
      <c r="S952" s="2">
        <v>11451</v>
      </c>
      <c r="T952" s="2">
        <v>5857</v>
      </c>
    </row>
    <row r="953" spans="14:20" x14ac:dyDescent="0.25">
      <c r="N953" t="s">
        <v>971</v>
      </c>
      <c r="O953" s="2">
        <v>27</v>
      </c>
      <c r="P953" s="5">
        <v>4.4716793640278238E-2</v>
      </c>
      <c r="R953" t="s">
        <v>971</v>
      </c>
      <c r="S953" s="2">
        <v>5966</v>
      </c>
      <c r="T953" s="2">
        <v>3019</v>
      </c>
    </row>
    <row r="954" spans="14:20" x14ac:dyDescent="0.25">
      <c r="N954" t="s">
        <v>972</v>
      </c>
      <c r="O954" s="2">
        <v>334</v>
      </c>
      <c r="P954" s="5">
        <v>7.3975690251952025E-2</v>
      </c>
      <c r="R954" t="s">
        <v>972</v>
      </c>
      <c r="S954" s="2">
        <v>47465</v>
      </c>
      <c r="T954" s="2">
        <v>37269</v>
      </c>
    </row>
    <row r="955" spans="14:20" x14ac:dyDescent="0.25">
      <c r="N955" t="s">
        <v>973</v>
      </c>
      <c r="O955" s="2">
        <v>3</v>
      </c>
      <c r="P955" s="5">
        <v>2.2959183673469389E-2</v>
      </c>
      <c r="R955" t="s">
        <v>973</v>
      </c>
      <c r="S955" s="2">
        <v>746</v>
      </c>
      <c r="T955" s="2">
        <v>392</v>
      </c>
    </row>
    <row r="956" spans="14:20" x14ac:dyDescent="0.25">
      <c r="N956" t="s">
        <v>974</v>
      </c>
      <c r="O956" s="2">
        <v>42</v>
      </c>
      <c r="P956" s="5">
        <v>8.2837830970168211E-2</v>
      </c>
      <c r="R956" t="s">
        <v>974</v>
      </c>
      <c r="S956" s="2">
        <v>49179</v>
      </c>
      <c r="T956" s="2">
        <v>19677</v>
      </c>
    </row>
    <row r="957" spans="14:20" x14ac:dyDescent="0.25">
      <c r="N957" t="s">
        <v>975</v>
      </c>
      <c r="O957" s="2">
        <v>60</v>
      </c>
      <c r="P957" s="5">
        <v>6.9840166782487834E-2</v>
      </c>
      <c r="R957" t="s">
        <v>975</v>
      </c>
      <c r="S957" s="2">
        <v>6392</v>
      </c>
      <c r="T957" s="2">
        <v>2878</v>
      </c>
    </row>
    <row r="958" spans="14:20" x14ac:dyDescent="0.25">
      <c r="N958" t="s">
        <v>976</v>
      </c>
      <c r="O958" s="2">
        <v>137</v>
      </c>
      <c r="P958" s="5">
        <v>8.1709548928840567E-2</v>
      </c>
      <c r="R958" t="s">
        <v>976</v>
      </c>
      <c r="S958" s="2">
        <v>13214</v>
      </c>
      <c r="T958" s="2">
        <v>9289</v>
      </c>
    </row>
    <row r="959" spans="14:20" x14ac:dyDescent="0.25">
      <c r="N959" t="s">
        <v>977</v>
      </c>
      <c r="O959" s="2">
        <v>5187</v>
      </c>
      <c r="P959" s="5">
        <v>0.14127076959990403</v>
      </c>
      <c r="R959" t="s">
        <v>977</v>
      </c>
      <c r="S959" s="2">
        <v>273634</v>
      </c>
      <c r="T959" s="2">
        <v>133368</v>
      </c>
    </row>
    <row r="960" spans="14:20" x14ac:dyDescent="0.25">
      <c r="N960" t="s">
        <v>978</v>
      </c>
      <c r="O960" s="2">
        <v>101</v>
      </c>
      <c r="P960" s="5">
        <v>2.8316645807259073E-2</v>
      </c>
      <c r="R960" t="s">
        <v>978</v>
      </c>
      <c r="S960" s="2">
        <v>7961</v>
      </c>
      <c r="T960" s="2">
        <v>6392</v>
      </c>
    </row>
    <row r="961" spans="14:20" x14ac:dyDescent="0.25">
      <c r="N961" t="s">
        <v>979</v>
      </c>
      <c r="O961" s="2">
        <v>21</v>
      </c>
      <c r="P961" s="5">
        <v>6.9952881478796664E-2</v>
      </c>
      <c r="R961" t="s">
        <v>979</v>
      </c>
      <c r="S961" s="2">
        <v>12719</v>
      </c>
      <c r="T961" s="2">
        <v>5518</v>
      </c>
    </row>
    <row r="962" spans="14:20" x14ac:dyDescent="0.25">
      <c r="N962" t="s">
        <v>980</v>
      </c>
      <c r="O962" s="2">
        <v>107</v>
      </c>
      <c r="P962" s="5">
        <v>3.6917562724014336E-2</v>
      </c>
      <c r="R962" t="s">
        <v>980</v>
      </c>
      <c r="S962" s="2">
        <v>21544</v>
      </c>
      <c r="T962" s="2">
        <v>13950</v>
      </c>
    </row>
    <row r="963" spans="14:20" x14ac:dyDescent="0.25">
      <c r="N963" t="s">
        <v>981</v>
      </c>
      <c r="O963" s="2">
        <v>284</v>
      </c>
      <c r="P963" s="5">
        <v>4.5568846795609977E-2</v>
      </c>
      <c r="R963" t="s">
        <v>981</v>
      </c>
      <c r="S963" s="2">
        <v>99969</v>
      </c>
      <c r="T963" s="2">
        <v>42551</v>
      </c>
    </row>
    <row r="964" spans="14:20" x14ac:dyDescent="0.25">
      <c r="N964" t="s">
        <v>982</v>
      </c>
      <c r="O964" s="2">
        <v>5079</v>
      </c>
      <c r="P964" s="5">
        <v>0.10858101975248166</v>
      </c>
      <c r="R964" t="s">
        <v>982</v>
      </c>
      <c r="S964" s="2">
        <v>277010</v>
      </c>
      <c r="T964" s="2">
        <v>138818</v>
      </c>
    </row>
    <row r="965" spans="14:20" x14ac:dyDescent="0.25">
      <c r="N965" t="s">
        <v>983</v>
      </c>
      <c r="O965" s="2">
        <v>176</v>
      </c>
      <c r="P965" s="5">
        <v>4.5514079895219384E-2</v>
      </c>
      <c r="R965" t="s">
        <v>983</v>
      </c>
      <c r="S965" s="2">
        <v>14165</v>
      </c>
      <c r="T965" s="2">
        <v>9162</v>
      </c>
    </row>
    <row r="966" spans="14:20" x14ac:dyDescent="0.25">
      <c r="N966" t="s">
        <v>984</v>
      </c>
      <c r="O966" s="2">
        <v>155</v>
      </c>
      <c r="P966" s="5">
        <v>7.4843590862796447E-2</v>
      </c>
      <c r="R966" t="s">
        <v>984</v>
      </c>
      <c r="S966" s="2">
        <v>62223</v>
      </c>
      <c r="T966" s="2">
        <v>34365</v>
      </c>
    </row>
    <row r="967" spans="14:20" x14ac:dyDescent="0.25">
      <c r="N967" t="s">
        <v>985</v>
      </c>
      <c r="O967" s="2">
        <v>5267</v>
      </c>
      <c r="P967" s="5">
        <v>0.18428703447624573</v>
      </c>
      <c r="R967" t="s">
        <v>985</v>
      </c>
      <c r="S967" s="2">
        <v>376541</v>
      </c>
      <c r="T967" s="2">
        <v>148247</v>
      </c>
    </row>
    <row r="968" spans="14:20" x14ac:dyDescent="0.25">
      <c r="N968" t="s">
        <v>986</v>
      </c>
      <c r="O968" s="2">
        <v>64</v>
      </c>
      <c r="P968" s="5">
        <v>6.5747126436781614E-2</v>
      </c>
      <c r="R968" t="s">
        <v>986</v>
      </c>
      <c r="S968" s="2">
        <v>6165</v>
      </c>
      <c r="T968" s="2">
        <v>2175</v>
      </c>
    </row>
    <row r="969" spans="14:20" x14ac:dyDescent="0.25">
      <c r="N969" t="s">
        <v>987</v>
      </c>
      <c r="O969" s="2">
        <v>185</v>
      </c>
      <c r="P969" s="5">
        <v>2.2738605764436023E-2</v>
      </c>
      <c r="R969" t="s">
        <v>987</v>
      </c>
      <c r="S969" s="2">
        <v>23521</v>
      </c>
      <c r="T969" s="2">
        <v>20054</v>
      </c>
    </row>
    <row r="970" spans="14:20" x14ac:dyDescent="0.25">
      <c r="N970" t="s">
        <v>988</v>
      </c>
      <c r="O970" s="2">
        <v>42</v>
      </c>
      <c r="P970" s="5">
        <v>5.8872861455887285E-2</v>
      </c>
      <c r="R970" t="s">
        <v>988</v>
      </c>
      <c r="S970" s="2">
        <v>9282</v>
      </c>
      <c r="T970" s="2">
        <v>5962</v>
      </c>
    </row>
    <row r="971" spans="14:20" x14ac:dyDescent="0.25">
      <c r="N971" t="s">
        <v>989</v>
      </c>
      <c r="O971" s="2">
        <v>257</v>
      </c>
      <c r="P971" s="5">
        <v>3.5179968701095458E-2</v>
      </c>
      <c r="R971" t="s">
        <v>989</v>
      </c>
      <c r="S971" s="2">
        <v>26423</v>
      </c>
      <c r="T971" s="2">
        <v>15975</v>
      </c>
    </row>
    <row r="972" spans="14:20" x14ac:dyDescent="0.25">
      <c r="N972" t="s">
        <v>990</v>
      </c>
      <c r="O972" s="2">
        <v>31</v>
      </c>
      <c r="P972" s="5">
        <v>4.1146424517593642E-2</v>
      </c>
      <c r="R972" t="s">
        <v>990</v>
      </c>
      <c r="S972" s="2">
        <v>5462</v>
      </c>
      <c r="T972" s="2">
        <v>3524</v>
      </c>
    </row>
    <row r="973" spans="14:20" x14ac:dyDescent="0.25">
      <c r="N973" t="s">
        <v>991</v>
      </c>
      <c r="O973" s="2">
        <v>98</v>
      </c>
      <c r="P973" s="5">
        <v>4.0054619936276743E-2</v>
      </c>
      <c r="R973" t="s">
        <v>991</v>
      </c>
      <c r="S973" s="2">
        <v>9373</v>
      </c>
      <c r="T973" s="2">
        <v>6591</v>
      </c>
    </row>
    <row r="974" spans="14:20" x14ac:dyDescent="0.25">
      <c r="N974" t="s">
        <v>992</v>
      </c>
      <c r="O974" s="2">
        <v>69</v>
      </c>
      <c r="P974" s="5">
        <v>5.6416140753490149E-2</v>
      </c>
      <c r="R974" t="s">
        <v>992</v>
      </c>
      <c r="S974" s="2">
        <v>11118</v>
      </c>
      <c r="T974" s="2">
        <v>5229</v>
      </c>
    </row>
    <row r="975" spans="14:20" x14ac:dyDescent="0.25">
      <c r="N975" t="s">
        <v>993</v>
      </c>
      <c r="O975" s="2">
        <v>84</v>
      </c>
      <c r="P975" s="5">
        <v>6.1699650756693827E-2</v>
      </c>
      <c r="R975" t="s">
        <v>993</v>
      </c>
      <c r="S975" s="2">
        <v>20217</v>
      </c>
      <c r="T975" s="2">
        <v>8590</v>
      </c>
    </row>
    <row r="976" spans="14:20" x14ac:dyDescent="0.25">
      <c r="N976" t="s">
        <v>994</v>
      </c>
      <c r="O976" s="2">
        <v>143</v>
      </c>
      <c r="P976" s="5">
        <v>5.8257848368283904E-2</v>
      </c>
      <c r="R976" t="s">
        <v>994</v>
      </c>
      <c r="S976" s="2">
        <v>27250</v>
      </c>
      <c r="T976" s="2">
        <v>16118</v>
      </c>
    </row>
    <row r="977" spans="14:20" x14ac:dyDescent="0.25">
      <c r="N977" t="s">
        <v>995</v>
      </c>
      <c r="O977" s="2">
        <v>34</v>
      </c>
      <c r="P977" s="5">
        <v>7.9714576962283387E-2</v>
      </c>
      <c r="R977" t="s">
        <v>995</v>
      </c>
      <c r="S977" s="2">
        <v>11600</v>
      </c>
      <c r="T977" s="2">
        <v>4905</v>
      </c>
    </row>
    <row r="978" spans="14:20" x14ac:dyDescent="0.25">
      <c r="N978" t="s">
        <v>996</v>
      </c>
      <c r="O978" s="2">
        <v>9736</v>
      </c>
      <c r="P978" s="5">
        <v>0.12913763165972575</v>
      </c>
      <c r="R978" t="s">
        <v>996</v>
      </c>
      <c r="S978" s="2">
        <v>422218</v>
      </c>
      <c r="T978" s="2">
        <v>218271</v>
      </c>
    </row>
    <row r="979" spans="14:20" x14ac:dyDescent="0.25">
      <c r="N979" t="s">
        <v>997</v>
      </c>
      <c r="O979" s="2">
        <v>75</v>
      </c>
      <c r="P979" s="5">
        <v>9.4177413051973427E-2</v>
      </c>
      <c r="R979" t="s">
        <v>997</v>
      </c>
      <c r="S979" s="2">
        <v>7766</v>
      </c>
      <c r="T979" s="2">
        <v>2559</v>
      </c>
    </row>
    <row r="980" spans="14:20" x14ac:dyDescent="0.25">
      <c r="N980" t="s">
        <v>998</v>
      </c>
      <c r="O980" s="2">
        <v>178</v>
      </c>
      <c r="P980" s="5">
        <v>4.3366727909314659E-2</v>
      </c>
      <c r="R980" t="s">
        <v>998</v>
      </c>
      <c r="S980" s="2">
        <v>40881</v>
      </c>
      <c r="T980" s="2">
        <v>28847</v>
      </c>
    </row>
    <row r="981" spans="14:20" x14ac:dyDescent="0.25">
      <c r="N981" t="s">
        <v>999</v>
      </c>
      <c r="O981" s="2">
        <v>36</v>
      </c>
      <c r="P981" s="5">
        <v>7.5520512504619927E-2</v>
      </c>
      <c r="R981" t="s">
        <v>999</v>
      </c>
      <c r="S981" s="2">
        <v>14948</v>
      </c>
      <c r="T981" s="2">
        <v>8117</v>
      </c>
    </row>
    <row r="982" spans="14:20" x14ac:dyDescent="0.25">
      <c r="N982" t="s">
        <v>1000</v>
      </c>
      <c r="O982" s="2">
        <v>2791</v>
      </c>
      <c r="P982" s="5">
        <v>9.8353178804710784E-2</v>
      </c>
      <c r="R982" t="s">
        <v>1000</v>
      </c>
      <c r="S982" s="2">
        <v>423592</v>
      </c>
      <c r="T982" s="2">
        <v>184173</v>
      </c>
    </row>
    <row r="983" spans="14:20" x14ac:dyDescent="0.25">
      <c r="N983" t="s">
        <v>1001</v>
      </c>
      <c r="O983" s="2">
        <v>442</v>
      </c>
      <c r="P983" s="5">
        <v>5.585606773283161E-2</v>
      </c>
      <c r="R983" t="s">
        <v>1001</v>
      </c>
      <c r="S983" s="2">
        <v>25434</v>
      </c>
      <c r="T983" s="2">
        <v>17008</v>
      </c>
    </row>
    <row r="984" spans="14:20" x14ac:dyDescent="0.25">
      <c r="N984" t="s">
        <v>1002</v>
      </c>
      <c r="O984" s="2">
        <v>14</v>
      </c>
      <c r="P984" s="5">
        <v>6.5886432596445596E-2</v>
      </c>
      <c r="R984" t="s">
        <v>1002</v>
      </c>
      <c r="S984" s="2">
        <v>4418</v>
      </c>
      <c r="T984" s="2">
        <v>2307</v>
      </c>
    </row>
    <row r="985" spans="14:20" x14ac:dyDescent="0.25">
      <c r="N985" t="s">
        <v>1003</v>
      </c>
      <c r="O985" s="2">
        <v>25</v>
      </c>
      <c r="P985" s="5">
        <v>7.1535022354694486E-2</v>
      </c>
      <c r="R985" t="s">
        <v>1003</v>
      </c>
      <c r="S985" s="2">
        <v>2777</v>
      </c>
      <c r="T985" s="2">
        <v>1342</v>
      </c>
    </row>
    <row r="986" spans="14:20" x14ac:dyDescent="0.25">
      <c r="N986" t="s">
        <v>1004</v>
      </c>
      <c r="O986" s="2">
        <v>32</v>
      </c>
      <c r="P986" s="5">
        <v>3.515000887626487E-2</v>
      </c>
      <c r="R986" t="s">
        <v>1004</v>
      </c>
      <c r="S986" s="2">
        <v>11582</v>
      </c>
      <c r="T986" s="2">
        <v>5633</v>
      </c>
    </row>
    <row r="987" spans="14:20" x14ac:dyDescent="0.25">
      <c r="N987" t="s">
        <v>1005</v>
      </c>
      <c r="O987" s="2">
        <v>56</v>
      </c>
      <c r="P987" s="5">
        <v>4.7037808871688E-2</v>
      </c>
      <c r="R987" t="s">
        <v>1005</v>
      </c>
      <c r="S987" s="2">
        <v>5501</v>
      </c>
      <c r="T987" s="2">
        <v>3359</v>
      </c>
    </row>
    <row r="988" spans="14:20" x14ac:dyDescent="0.25">
      <c r="N988" t="s">
        <v>1006</v>
      </c>
      <c r="O988" s="2">
        <v>50</v>
      </c>
      <c r="P988" s="5">
        <v>4.8815506101938265E-2</v>
      </c>
      <c r="R988" t="s">
        <v>1006</v>
      </c>
      <c r="S988" s="2">
        <v>4273</v>
      </c>
      <c r="T988" s="2">
        <v>2786</v>
      </c>
    </row>
    <row r="989" spans="14:20" x14ac:dyDescent="0.25">
      <c r="N989" t="s">
        <v>1007</v>
      </c>
      <c r="O989" s="2">
        <v>144</v>
      </c>
      <c r="P989" s="5">
        <v>5.3504578701837238E-2</v>
      </c>
      <c r="R989" t="s">
        <v>1007</v>
      </c>
      <c r="S989" s="2">
        <v>22423</v>
      </c>
      <c r="T989" s="2">
        <v>17363</v>
      </c>
    </row>
    <row r="990" spans="14:20" x14ac:dyDescent="0.25">
      <c r="N990" t="s">
        <v>1008</v>
      </c>
      <c r="O990" s="2">
        <v>200</v>
      </c>
      <c r="P990" s="5">
        <v>5.8377278194097514E-2</v>
      </c>
      <c r="R990" t="s">
        <v>1008</v>
      </c>
      <c r="S990" s="2">
        <v>20903</v>
      </c>
      <c r="T990" s="2">
        <v>10809</v>
      </c>
    </row>
    <row r="991" spans="14:20" x14ac:dyDescent="0.25">
      <c r="N991" t="s">
        <v>1009</v>
      </c>
      <c r="O991" s="2">
        <v>144</v>
      </c>
      <c r="P991" s="5">
        <v>3.3409011526370942E-2</v>
      </c>
      <c r="R991" t="s">
        <v>1009</v>
      </c>
      <c r="S991" s="2">
        <v>96470</v>
      </c>
      <c r="T991" s="2">
        <v>57260</v>
      </c>
    </row>
    <row r="992" spans="14:20" x14ac:dyDescent="0.25">
      <c r="N992" t="s">
        <v>1010</v>
      </c>
      <c r="O992" s="2">
        <v>62</v>
      </c>
      <c r="P992" s="5">
        <v>3.2038446135362435E-2</v>
      </c>
      <c r="R992" t="s">
        <v>1010</v>
      </c>
      <c r="S992" s="2">
        <v>14054</v>
      </c>
      <c r="T992" s="2">
        <v>9988</v>
      </c>
    </row>
    <row r="993" spans="14:20" x14ac:dyDescent="0.25">
      <c r="N993" t="s">
        <v>1011</v>
      </c>
      <c r="O993" s="2">
        <v>23</v>
      </c>
      <c r="P993" s="5">
        <v>2.6794742163801819E-2</v>
      </c>
      <c r="R993" t="s">
        <v>1011</v>
      </c>
      <c r="S993" s="2">
        <v>3747</v>
      </c>
      <c r="T993" s="2">
        <v>1978</v>
      </c>
    </row>
    <row r="994" spans="14:20" x14ac:dyDescent="0.25">
      <c r="N994" t="s">
        <v>1012</v>
      </c>
      <c r="O994" s="2">
        <v>37</v>
      </c>
      <c r="P994" s="5">
        <v>5.5018416206261508E-2</v>
      </c>
      <c r="R994" t="s">
        <v>1012</v>
      </c>
      <c r="S994" s="2">
        <v>10380</v>
      </c>
      <c r="T994" s="2">
        <v>4344</v>
      </c>
    </row>
    <row r="995" spans="14:20" x14ac:dyDescent="0.25">
      <c r="N995" t="s">
        <v>1013</v>
      </c>
      <c r="O995" s="2">
        <v>119</v>
      </c>
      <c r="P995" s="5">
        <v>3.5359499826328585E-2</v>
      </c>
      <c r="R995" t="s">
        <v>1013</v>
      </c>
      <c r="S995" s="2">
        <v>22714</v>
      </c>
      <c r="T995" s="2">
        <v>14395</v>
      </c>
    </row>
    <row r="996" spans="14:20" x14ac:dyDescent="0.25">
      <c r="N996" t="s">
        <v>1014</v>
      </c>
      <c r="O996" s="2">
        <v>107</v>
      </c>
      <c r="P996" s="5">
        <v>4.8105436573311365E-2</v>
      </c>
      <c r="R996" t="s">
        <v>1014</v>
      </c>
      <c r="S996" s="2">
        <v>26648</v>
      </c>
      <c r="T996" s="2">
        <v>9105</v>
      </c>
    </row>
    <row r="997" spans="14:20" x14ac:dyDescent="0.25">
      <c r="N997" t="s">
        <v>1015</v>
      </c>
      <c r="O997" s="2">
        <v>1</v>
      </c>
      <c r="P997" s="5">
        <v>9.3023255813953487E-2</v>
      </c>
      <c r="R997" t="s">
        <v>1015</v>
      </c>
      <c r="S997" s="2">
        <v>2934</v>
      </c>
      <c r="T997" s="2">
        <v>1462</v>
      </c>
    </row>
    <row r="998" spans="14:20" x14ac:dyDescent="0.25">
      <c r="N998" t="s">
        <v>1016</v>
      </c>
      <c r="O998" s="2">
        <v>74</v>
      </c>
      <c r="P998" s="5">
        <v>6.852706200067514E-2</v>
      </c>
      <c r="R998" t="s">
        <v>1016</v>
      </c>
      <c r="S998" s="2">
        <v>84023</v>
      </c>
      <c r="T998" s="2">
        <v>35548</v>
      </c>
    </row>
    <row r="999" spans="14:20" x14ac:dyDescent="0.25">
      <c r="N999" t="s">
        <v>1017</v>
      </c>
      <c r="O999" s="2">
        <v>22</v>
      </c>
      <c r="P999" s="5">
        <v>2.3820981713185755E-2</v>
      </c>
      <c r="R999" t="s">
        <v>1017</v>
      </c>
      <c r="S999" s="2">
        <v>10873</v>
      </c>
      <c r="T999" s="2">
        <v>4156</v>
      </c>
    </row>
    <row r="1000" spans="14:20" x14ac:dyDescent="0.25">
      <c r="N1000" t="s">
        <v>1018</v>
      </c>
      <c r="O1000" s="2">
        <v>28</v>
      </c>
      <c r="P1000" s="5">
        <v>4.372019077901431E-2</v>
      </c>
      <c r="R1000" t="s">
        <v>1018</v>
      </c>
      <c r="S1000" s="2">
        <v>2959</v>
      </c>
      <c r="T1000" s="2">
        <v>1258</v>
      </c>
    </row>
    <row r="1001" spans="14:20" x14ac:dyDescent="0.25">
      <c r="N1001" t="s">
        <v>1019</v>
      </c>
      <c r="O1001" s="2">
        <v>2514</v>
      </c>
      <c r="P1001" s="5">
        <v>0.12785989066612674</v>
      </c>
      <c r="R1001" t="s">
        <v>1019</v>
      </c>
      <c r="S1001" s="2">
        <v>132006</v>
      </c>
      <c r="T1001" s="2">
        <v>59268</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C9FE-B5C9-488D-A556-A51D98401890}">
  <dimension ref="A1:B18"/>
  <sheetViews>
    <sheetView showGridLines="0" workbookViewId="0">
      <selection activeCell="A19" sqref="A19:XFD1048576"/>
    </sheetView>
  </sheetViews>
  <sheetFormatPr defaultRowHeight="15" zeroHeight="1" x14ac:dyDescent="0.25"/>
  <cols>
    <col min="1" max="1" width="2.7109375" customWidth="1"/>
  </cols>
  <sheetData>
    <row r="1" spans="1:2" s="4" customFormat="1" ht="26.25" x14ac:dyDescent="0.4">
      <c r="A1" s="3" t="s">
        <v>1020</v>
      </c>
    </row>
    <row r="2" spans="1:2" ht="5.0999999999999996" customHeight="1" x14ac:dyDescent="0.25"/>
    <row r="3" spans="1:2" x14ac:dyDescent="0.25">
      <c r="B3" t="s">
        <v>1021</v>
      </c>
    </row>
    <row r="4" spans="1:2" x14ac:dyDescent="0.25">
      <c r="B4" t="s">
        <v>1022</v>
      </c>
    </row>
    <row r="5" spans="1:2" x14ac:dyDescent="0.25">
      <c r="B5" t="s">
        <v>1023</v>
      </c>
    </row>
    <row r="6" spans="1:2" x14ac:dyDescent="0.25">
      <c r="B6" t="s">
        <v>1024</v>
      </c>
    </row>
    <row r="7" spans="1:2" x14ac:dyDescent="0.25">
      <c r="B7" t="s">
        <v>1025</v>
      </c>
    </row>
    <row r="8" spans="1:2" x14ac:dyDescent="0.25">
      <c r="B8" t="s">
        <v>1026</v>
      </c>
    </row>
    <row r="9" spans="1:2" x14ac:dyDescent="0.25">
      <c r="B9" t="s">
        <v>1027</v>
      </c>
    </row>
    <row r="10" spans="1:2" x14ac:dyDescent="0.25">
      <c r="B10" t="s">
        <v>1028</v>
      </c>
    </row>
    <row r="11" spans="1:2" x14ac:dyDescent="0.25">
      <c r="B11" t="s">
        <v>1029</v>
      </c>
    </row>
    <row r="12" spans="1:2" x14ac:dyDescent="0.25">
      <c r="B12" t="s">
        <v>1030</v>
      </c>
    </row>
    <row r="13" spans="1:2" x14ac:dyDescent="0.25">
      <c r="B13" t="s">
        <v>1031</v>
      </c>
    </row>
    <row r="14" spans="1:2" x14ac:dyDescent="0.25">
      <c r="B14" t="s">
        <v>1032</v>
      </c>
    </row>
    <row r="15" spans="1:2" x14ac:dyDescent="0.25">
      <c r="B15" t="s">
        <v>1033</v>
      </c>
    </row>
    <row r="16" spans="1:2" x14ac:dyDescent="0.25">
      <c r="B16" t="s">
        <v>1034</v>
      </c>
    </row>
    <row r="17" spans="2:2" x14ac:dyDescent="0.25">
      <c r="B17" t="s">
        <v>1035</v>
      </c>
    </row>
    <row r="18" spans="2:2"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2B69-EE59-45E0-AEEF-1DBCF321450C}">
  <dimension ref="A1"/>
  <sheetViews>
    <sheetView tabSelected="1" workbookViewId="0">
      <selection activeCell="V14" sqref="V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4989-628C-4020-98BF-C531A959C78F}">
  <dimension ref="A1"/>
  <sheetViews>
    <sheetView workbookViewId="0">
      <selection activeCell="W22" sqref="W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E4E0-0A26-49E8-9610-EA40BCE3E239}">
  <dimension ref="A1"/>
  <sheetViews>
    <sheetView workbookViewId="0">
      <selection activeCell="V22" sqref="V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24B5-BB8A-4E07-90DC-BE54C54521DA}">
  <dimension ref="A1:B43"/>
  <sheetViews>
    <sheetView showGridLines="0" workbookViewId="0"/>
  </sheetViews>
  <sheetFormatPr defaultRowHeight="15" zeroHeight="1" x14ac:dyDescent="0.25"/>
  <cols>
    <col min="1" max="1" width="2.7109375" customWidth="1"/>
  </cols>
  <sheetData>
    <row r="1" spans="1:2" s="21" customFormat="1" ht="26.25" x14ac:dyDescent="0.4">
      <c r="A1" s="3" t="s">
        <v>1079</v>
      </c>
    </row>
    <row r="2" spans="1:2" ht="5.0999999999999996" customHeight="1" x14ac:dyDescent="0.25"/>
    <row r="3" spans="1:2" x14ac:dyDescent="0.25">
      <c r="B3" s="17" t="s">
        <v>1080</v>
      </c>
    </row>
    <row r="4" spans="1:2" x14ac:dyDescent="0.25">
      <c r="B4" t="s">
        <v>1093</v>
      </c>
    </row>
    <row r="5" spans="1:2" x14ac:dyDescent="0.25">
      <c r="B5" t="s">
        <v>1094</v>
      </c>
    </row>
    <row r="6" spans="1:2" ht="5.0999999999999996" customHeight="1" x14ac:dyDescent="0.25"/>
    <row r="7" spans="1:2" x14ac:dyDescent="0.25">
      <c r="B7" s="17" t="s">
        <v>1081</v>
      </c>
    </row>
    <row r="8" spans="1:2" x14ac:dyDescent="0.25">
      <c r="B8" t="s">
        <v>1095</v>
      </c>
    </row>
    <row r="9" spans="1:2" x14ac:dyDescent="0.25">
      <c r="B9" t="s">
        <v>1096</v>
      </c>
    </row>
    <row r="10" spans="1:2" ht="5.0999999999999996" customHeight="1" x14ac:dyDescent="0.25"/>
    <row r="11" spans="1:2" x14ac:dyDescent="0.25">
      <c r="B11" s="17" t="s">
        <v>1082</v>
      </c>
    </row>
    <row r="12" spans="1:2" x14ac:dyDescent="0.25">
      <c r="B12" t="s">
        <v>1097</v>
      </c>
    </row>
    <row r="13" spans="1:2" x14ac:dyDescent="0.25">
      <c r="B13" t="s">
        <v>1098</v>
      </c>
    </row>
    <row r="14" spans="1:2" ht="5.0999999999999996" customHeight="1" x14ac:dyDescent="0.25"/>
    <row r="15" spans="1:2" x14ac:dyDescent="0.25">
      <c r="B15" s="17" t="s">
        <v>1083</v>
      </c>
    </row>
    <row r="16" spans="1:2" x14ac:dyDescent="0.25">
      <c r="B16" t="s">
        <v>1099</v>
      </c>
    </row>
    <row r="17" spans="1:2" x14ac:dyDescent="0.25">
      <c r="B17" t="s">
        <v>1100</v>
      </c>
    </row>
    <row r="18" spans="1:2" x14ac:dyDescent="0.25">
      <c r="B18" t="s">
        <v>1101</v>
      </c>
    </row>
    <row r="19" spans="1:2" x14ac:dyDescent="0.25"/>
    <row r="20" spans="1:2" s="20" customFormat="1" ht="26.25" x14ac:dyDescent="0.4">
      <c r="A20" s="3" t="s">
        <v>1084</v>
      </c>
    </row>
    <row r="21" spans="1:2" ht="5.0999999999999996" customHeight="1" x14ac:dyDescent="0.25"/>
    <row r="22" spans="1:2" x14ac:dyDescent="0.25">
      <c r="B22" s="17" t="s">
        <v>1085</v>
      </c>
    </row>
    <row r="23" spans="1:2" x14ac:dyDescent="0.25">
      <c r="B23" s="23" t="s">
        <v>1102</v>
      </c>
    </row>
    <row r="24" spans="1:2" x14ac:dyDescent="0.25">
      <c r="B24" t="s">
        <v>1103</v>
      </c>
    </row>
    <row r="25" spans="1:2" ht="5.0999999999999996" customHeight="1" x14ac:dyDescent="0.25"/>
    <row r="26" spans="1:2" x14ac:dyDescent="0.25">
      <c r="B26" s="17" t="s">
        <v>1086</v>
      </c>
    </row>
    <row r="27" spans="1:2" x14ac:dyDescent="0.25">
      <c r="B27" t="s">
        <v>1104</v>
      </c>
    </row>
    <row r="28" spans="1:2" x14ac:dyDescent="0.25">
      <c r="B28" t="s">
        <v>1105</v>
      </c>
    </row>
    <row r="29" spans="1:2" x14ac:dyDescent="0.25"/>
    <row r="30" spans="1:2" s="20" customFormat="1" ht="26.25" x14ac:dyDescent="0.4">
      <c r="A30" s="3" t="s">
        <v>1087</v>
      </c>
    </row>
    <row r="31" spans="1:2" ht="5.0999999999999996" customHeight="1" x14ac:dyDescent="0.25"/>
    <row r="32" spans="1:2" x14ac:dyDescent="0.25">
      <c r="B32" s="17" t="s">
        <v>1088</v>
      </c>
    </row>
    <row r="33" spans="2:2" x14ac:dyDescent="0.25">
      <c r="B33" s="23" t="s">
        <v>1106</v>
      </c>
    </row>
    <row r="34" spans="2:2" x14ac:dyDescent="0.25">
      <c r="B34" t="s">
        <v>1107</v>
      </c>
    </row>
    <row r="35" spans="2:2" ht="5.0999999999999996" customHeight="1" x14ac:dyDescent="0.25"/>
    <row r="36" spans="2:2" x14ac:dyDescent="0.25">
      <c r="B36" s="17" t="s">
        <v>1089</v>
      </c>
    </row>
    <row r="37" spans="2:2" x14ac:dyDescent="0.25">
      <c r="B37" t="s">
        <v>1108</v>
      </c>
    </row>
    <row r="38" spans="2:2" x14ac:dyDescent="0.25">
      <c r="B38" t="s">
        <v>1109</v>
      </c>
    </row>
    <row r="39" spans="2:2" ht="5.0999999999999996" customHeight="1" x14ac:dyDescent="0.25"/>
    <row r="40" spans="2:2" x14ac:dyDescent="0.25">
      <c r="B40" s="17" t="s">
        <v>1090</v>
      </c>
    </row>
    <row r="41" spans="2:2" x14ac:dyDescent="0.25">
      <c r="B41" t="s">
        <v>1110</v>
      </c>
    </row>
    <row r="42" spans="2:2" x14ac:dyDescent="0.25">
      <c r="B42" t="s">
        <v>1111</v>
      </c>
    </row>
    <row r="43" spans="2:2"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640F-6439-44D8-A9DD-2B9944E8C025}">
  <dimension ref="A1:B64"/>
  <sheetViews>
    <sheetView showGridLines="0" workbookViewId="0"/>
  </sheetViews>
  <sheetFormatPr defaultRowHeight="15" zeroHeight="1" x14ac:dyDescent="0.25"/>
  <cols>
    <col min="1" max="1" width="2.7109375" customWidth="1"/>
  </cols>
  <sheetData>
    <row r="1" spans="1:2" s="20" customFormat="1" ht="26.25" x14ac:dyDescent="0.4">
      <c r="A1" s="3" t="s">
        <v>1091</v>
      </c>
    </row>
    <row r="2" spans="1:2" ht="5.0999999999999996" customHeight="1" x14ac:dyDescent="0.25"/>
    <row r="3" spans="1:2" x14ac:dyDescent="0.25">
      <c r="B3" s="17" t="s">
        <v>1092</v>
      </c>
    </row>
    <row r="4" spans="1:2" x14ac:dyDescent="0.25">
      <c r="B4" t="s">
        <v>1112</v>
      </c>
    </row>
    <row r="5" spans="1:2" ht="5.0999999999999996" customHeight="1" x14ac:dyDescent="0.25"/>
    <row r="6" spans="1:2" x14ac:dyDescent="0.25">
      <c r="B6" s="17" t="s">
        <v>1113</v>
      </c>
    </row>
    <row r="7" spans="1:2" x14ac:dyDescent="0.25">
      <c r="B7" t="s">
        <v>1114</v>
      </c>
    </row>
    <row r="8" spans="1:2" ht="5.0999999999999996" customHeight="1" x14ac:dyDescent="0.25"/>
    <row r="9" spans="1:2" x14ac:dyDescent="0.25">
      <c r="B9" s="17" t="s">
        <v>1115</v>
      </c>
    </row>
    <row r="10" spans="1:2" x14ac:dyDescent="0.25">
      <c r="B10" t="s">
        <v>1116</v>
      </c>
    </row>
    <row r="11" spans="1:2" ht="5.0999999999999996" customHeight="1" x14ac:dyDescent="0.25"/>
    <row r="12" spans="1:2" x14ac:dyDescent="0.25">
      <c r="B12" s="17" t="s">
        <v>1117</v>
      </c>
    </row>
    <row r="13" spans="1:2" x14ac:dyDescent="0.25">
      <c r="B13" t="s">
        <v>1118</v>
      </c>
    </row>
    <row r="14" spans="1:2" ht="5.0999999999999996" customHeight="1" x14ac:dyDescent="0.25"/>
    <row r="15" spans="1:2" x14ac:dyDescent="0.25">
      <c r="B15" s="17" t="s">
        <v>1119</v>
      </c>
    </row>
    <row r="16" spans="1:2" x14ac:dyDescent="0.25">
      <c r="B16" t="s">
        <v>1120</v>
      </c>
    </row>
    <row r="17" spans="2:2" ht="5.0999999999999996" customHeight="1" x14ac:dyDescent="0.25"/>
    <row r="18" spans="2:2" x14ac:dyDescent="0.25">
      <c r="B18" s="17" t="s">
        <v>1121</v>
      </c>
    </row>
    <row r="19" spans="2:2" x14ac:dyDescent="0.25">
      <c r="B19" t="s">
        <v>1122</v>
      </c>
    </row>
    <row r="20" spans="2:2" ht="5.0999999999999996" customHeight="1" x14ac:dyDescent="0.25"/>
    <row r="21" spans="2:2" x14ac:dyDescent="0.25">
      <c r="B21" s="17" t="s">
        <v>1123</v>
      </c>
    </row>
    <row r="22" spans="2:2" x14ac:dyDescent="0.25">
      <c r="B22" t="s">
        <v>1124</v>
      </c>
    </row>
    <row r="23" spans="2:2" ht="5.0999999999999996" customHeight="1" x14ac:dyDescent="0.25"/>
    <row r="24" spans="2:2" x14ac:dyDescent="0.25">
      <c r="B24" s="17" t="s">
        <v>1125</v>
      </c>
    </row>
    <row r="25" spans="2:2" x14ac:dyDescent="0.25">
      <c r="B25" t="s">
        <v>1126</v>
      </c>
    </row>
    <row r="26" spans="2:2" ht="5.0999999999999996" customHeight="1" x14ac:dyDescent="0.25"/>
    <row r="27" spans="2:2" x14ac:dyDescent="0.25">
      <c r="B27" s="17" t="s">
        <v>1127</v>
      </c>
    </row>
    <row r="28" spans="2:2" x14ac:dyDescent="0.25">
      <c r="B28" t="s">
        <v>1128</v>
      </c>
    </row>
    <row r="29" spans="2:2" ht="5.0999999999999996" customHeight="1" x14ac:dyDescent="0.25"/>
    <row r="30" spans="2:2" x14ac:dyDescent="0.25">
      <c r="B30" s="17" t="s">
        <v>1129</v>
      </c>
    </row>
    <row r="31" spans="2:2" x14ac:dyDescent="0.25">
      <c r="B31" t="s">
        <v>1130</v>
      </c>
    </row>
    <row r="32" spans="2:2" x14ac:dyDescent="0.25"/>
    <row r="33" spans="1:2" s="20" customFormat="1" ht="26.25" x14ac:dyDescent="0.4">
      <c r="A33" s="3" t="s">
        <v>1131</v>
      </c>
    </row>
    <row r="34" spans="1:2" ht="5.0999999999999996" customHeight="1" x14ac:dyDescent="0.25"/>
    <row r="35" spans="1:2" x14ac:dyDescent="0.25">
      <c r="B35" s="17" t="s">
        <v>1132</v>
      </c>
    </row>
    <row r="36" spans="1:2" x14ac:dyDescent="0.25">
      <c r="B36" t="s">
        <v>1133</v>
      </c>
    </row>
    <row r="37" spans="1:2" ht="5.0999999999999996" customHeight="1" x14ac:dyDescent="0.25"/>
    <row r="38" spans="1:2" x14ac:dyDescent="0.25">
      <c r="B38" s="17" t="s">
        <v>1134</v>
      </c>
    </row>
    <row r="39" spans="1:2" x14ac:dyDescent="0.25">
      <c r="B39" t="s">
        <v>1135</v>
      </c>
    </row>
    <row r="40" spans="1:2" ht="5.0999999999999996" customHeight="1" x14ac:dyDescent="0.25"/>
    <row r="41" spans="1:2" x14ac:dyDescent="0.25">
      <c r="B41" s="17" t="s">
        <v>1136</v>
      </c>
    </row>
    <row r="42" spans="1:2" x14ac:dyDescent="0.25">
      <c r="B42" t="s">
        <v>1137</v>
      </c>
    </row>
    <row r="43" spans="1:2" ht="5.0999999999999996" customHeight="1" x14ac:dyDescent="0.25"/>
    <row r="44" spans="1:2" x14ac:dyDescent="0.25">
      <c r="B44" s="17" t="s">
        <v>1138</v>
      </c>
    </row>
    <row r="45" spans="1:2" x14ac:dyDescent="0.25">
      <c r="B45" t="s">
        <v>1139</v>
      </c>
    </row>
    <row r="46" spans="1:2" ht="5.0999999999999996" customHeight="1" x14ac:dyDescent="0.25"/>
    <row r="47" spans="1:2" x14ac:dyDescent="0.25">
      <c r="B47" s="17" t="s">
        <v>1140</v>
      </c>
    </row>
    <row r="48" spans="1:2" x14ac:dyDescent="0.25">
      <c r="B48" t="s">
        <v>1141</v>
      </c>
    </row>
    <row r="49" spans="2:2" ht="5.0999999999999996" customHeight="1" x14ac:dyDescent="0.25"/>
    <row r="50" spans="2:2" x14ac:dyDescent="0.25">
      <c r="B50" s="17" t="s">
        <v>1142</v>
      </c>
    </row>
    <row r="51" spans="2:2" x14ac:dyDescent="0.25">
      <c r="B51" t="s">
        <v>1143</v>
      </c>
    </row>
    <row r="52" spans="2:2" ht="5.0999999999999996" customHeight="1" x14ac:dyDescent="0.25"/>
    <row r="53" spans="2:2" x14ac:dyDescent="0.25">
      <c r="B53" s="17" t="s">
        <v>1144</v>
      </c>
    </row>
    <row r="54" spans="2:2" x14ac:dyDescent="0.25">
      <c r="B54" t="s">
        <v>1145</v>
      </c>
    </row>
    <row r="55" spans="2:2" ht="5.0999999999999996" customHeight="1" x14ac:dyDescent="0.25"/>
    <row r="56" spans="2:2" x14ac:dyDescent="0.25">
      <c r="B56" s="17" t="s">
        <v>1146</v>
      </c>
    </row>
    <row r="57" spans="2:2" x14ac:dyDescent="0.25">
      <c r="B57" t="s">
        <v>1147</v>
      </c>
    </row>
    <row r="58" spans="2:2" ht="5.0999999999999996" customHeight="1" x14ac:dyDescent="0.25"/>
    <row r="59" spans="2:2" x14ac:dyDescent="0.25">
      <c r="B59" s="17" t="s">
        <v>1148</v>
      </c>
    </row>
    <row r="60" spans="2:2" x14ac:dyDescent="0.25">
      <c r="B60" t="s">
        <v>1149</v>
      </c>
    </row>
    <row r="61" spans="2:2" ht="5.0999999999999996" customHeight="1" x14ac:dyDescent="0.25"/>
    <row r="62" spans="2:2" x14ac:dyDescent="0.25">
      <c r="B62" s="17" t="s">
        <v>1150</v>
      </c>
    </row>
    <row r="63" spans="2:2" x14ac:dyDescent="0.25">
      <c r="B63" t="s">
        <v>1151</v>
      </c>
    </row>
    <row r="64" spans="2: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Analysis</vt:lpstr>
      <vt:lpstr>Pre-Analysis</vt:lpstr>
      <vt:lpstr>Platform &amp; Content Dashboard</vt:lpstr>
      <vt:lpstr>Engagement Trend Dashboard</vt:lpstr>
      <vt:lpstr>Top Performers Dashboard</vt:lpstr>
      <vt:lpstr>In-Analysis</vt:lpstr>
      <vt:lpstr>Post-Analysis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Dimin Lu</cp:lastModifiedBy>
  <dcterms:created xsi:type="dcterms:W3CDTF">2026-03-11T02:30:31Z</dcterms:created>
  <dcterms:modified xsi:type="dcterms:W3CDTF">2026-08-12T20:05:11Z</dcterms:modified>
</cp:coreProperties>
</file>